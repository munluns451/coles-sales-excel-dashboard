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202300"/>
  <mc:AlternateContent xmlns:mc="http://schemas.openxmlformats.org/markup-compatibility/2006">
    <mc:Choice Requires="x15">
      <x15ac:absPath xmlns:x15ac="http://schemas.microsoft.com/office/spreadsheetml/2010/11/ac" url="/Users/munnanaharki123gmail.com/Downloads/coles supermarket/"/>
    </mc:Choice>
  </mc:AlternateContent>
  <xr:revisionPtr revIDLastSave="0" documentId="13_ncr:9_{C6055AB5-A660-9E4A-BA8C-A47D1F6E69C2}" xr6:coauthVersionLast="47" xr6:coauthVersionMax="47" xr10:uidLastSave="{00000000-0000-0000-0000-000000000000}"/>
  <bookViews>
    <workbookView xWindow="0" yWindow="660" windowWidth="30240" windowHeight="18980" activeTab="4" xr2:uid="{879D8BD1-4BA8-A740-B18A-18D73ECF248E}"/>
  </bookViews>
  <sheets>
    <sheet name="ColesSalesData" sheetId="5" r:id="rId1"/>
    <sheet name="ColesStoreData" sheetId="4" r:id="rId2"/>
    <sheet name="Working Sheet" sheetId="1" r:id="rId3"/>
    <sheet name="Pivot Table" sheetId="6" r:id="rId4"/>
    <sheet name="Dashboard" sheetId="2" r:id="rId5"/>
  </sheets>
  <definedNames>
    <definedName name="_xlnm._FilterDatabase" localSheetId="2" hidden="1">'Working Sheet'!$G$1:$G$612</definedName>
    <definedName name="Slicer_Coles_Forecast">#N/A</definedName>
    <definedName name="Slicer_State">#N/A</definedName>
    <definedName name="Slicer_Targeted_Quarter">#N/A</definedName>
  </definedNames>
  <calcPr calcId="191029"/>
  <pivotCaches>
    <pivotCache cacheId="83" r:id="rId6"/>
    <pivotCache cacheId="119"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3" i="1" l="1"/>
  <c r="L3" i="1" s="1"/>
  <c r="K4" i="1"/>
  <c r="L4" i="1" s="1"/>
  <c r="K5" i="1"/>
  <c r="L5" i="1" s="1"/>
  <c r="K6" i="1"/>
  <c r="L6" i="1" s="1"/>
  <c r="K7" i="1"/>
  <c r="L7" i="1" s="1"/>
  <c r="K8" i="1"/>
  <c r="L8" i="1" s="1"/>
  <c r="K9" i="1"/>
  <c r="L9" i="1" s="1"/>
  <c r="K10" i="1"/>
  <c r="L10" i="1" s="1"/>
  <c r="K11" i="1"/>
  <c r="L11" i="1" s="1"/>
  <c r="K12" i="1"/>
  <c r="L12" i="1" s="1"/>
  <c r="K13" i="1"/>
  <c r="L13" i="1" s="1"/>
  <c r="K14" i="1"/>
  <c r="L14" i="1" s="1"/>
  <c r="K15" i="1"/>
  <c r="L15" i="1" s="1"/>
  <c r="K16" i="1"/>
  <c r="L16" i="1" s="1"/>
  <c r="K17" i="1"/>
  <c r="L17" i="1" s="1"/>
  <c r="K18" i="1"/>
  <c r="L18" i="1" s="1"/>
  <c r="K19" i="1"/>
  <c r="L19" i="1" s="1"/>
  <c r="K20" i="1"/>
  <c r="L20" i="1" s="1"/>
  <c r="K21" i="1"/>
  <c r="L21" i="1" s="1"/>
  <c r="K22" i="1"/>
  <c r="L22" i="1" s="1"/>
  <c r="K23" i="1"/>
  <c r="L23" i="1" s="1"/>
  <c r="K24" i="1"/>
  <c r="L24" i="1" s="1"/>
  <c r="K25" i="1"/>
  <c r="L25" i="1" s="1"/>
  <c r="K26" i="1"/>
  <c r="L26" i="1" s="1"/>
  <c r="K27" i="1"/>
  <c r="L27" i="1" s="1"/>
  <c r="K28" i="1"/>
  <c r="L28" i="1" s="1"/>
  <c r="K29" i="1"/>
  <c r="L29" i="1" s="1"/>
  <c r="K30" i="1"/>
  <c r="L30" i="1" s="1"/>
  <c r="K31" i="1"/>
  <c r="L31" i="1" s="1"/>
  <c r="K32" i="1"/>
  <c r="L32" i="1" s="1"/>
  <c r="K33" i="1"/>
  <c r="L33" i="1" s="1"/>
  <c r="K34" i="1"/>
  <c r="L34" i="1" s="1"/>
  <c r="K35" i="1"/>
  <c r="L35" i="1" s="1"/>
  <c r="K36" i="1"/>
  <c r="L36" i="1" s="1"/>
  <c r="K37" i="1"/>
  <c r="L37" i="1" s="1"/>
  <c r="K38" i="1"/>
  <c r="L38" i="1" s="1"/>
  <c r="K39" i="1"/>
  <c r="L39" i="1" s="1"/>
  <c r="K40" i="1"/>
  <c r="L40" i="1" s="1"/>
  <c r="K41" i="1"/>
  <c r="L41" i="1" s="1"/>
  <c r="K42" i="1"/>
  <c r="L42" i="1" s="1"/>
  <c r="K43" i="1"/>
  <c r="L43" i="1" s="1"/>
  <c r="K44" i="1"/>
  <c r="L44" i="1" s="1"/>
  <c r="K45" i="1"/>
  <c r="L45" i="1" s="1"/>
  <c r="K46" i="1"/>
  <c r="L46" i="1" s="1"/>
  <c r="K47" i="1"/>
  <c r="L47" i="1" s="1"/>
  <c r="K48" i="1"/>
  <c r="L48" i="1" s="1"/>
  <c r="K49" i="1"/>
  <c r="L49" i="1" s="1"/>
  <c r="K50" i="1"/>
  <c r="L50" i="1" s="1"/>
  <c r="K51" i="1"/>
  <c r="L51" i="1" s="1"/>
  <c r="K52" i="1"/>
  <c r="L52" i="1" s="1"/>
  <c r="K53" i="1"/>
  <c r="L53" i="1" s="1"/>
  <c r="K54" i="1"/>
  <c r="L54" i="1" s="1"/>
  <c r="K55" i="1"/>
  <c r="L55" i="1" s="1"/>
  <c r="K56" i="1"/>
  <c r="L56" i="1" s="1"/>
  <c r="K57" i="1"/>
  <c r="L57" i="1" s="1"/>
  <c r="K58" i="1"/>
  <c r="L58" i="1" s="1"/>
  <c r="K59" i="1"/>
  <c r="L59" i="1" s="1"/>
  <c r="K60" i="1"/>
  <c r="L60" i="1" s="1"/>
  <c r="K61" i="1"/>
  <c r="L61" i="1" s="1"/>
  <c r="K62" i="1"/>
  <c r="L62" i="1" s="1"/>
  <c r="K63" i="1"/>
  <c r="L63" i="1" s="1"/>
  <c r="K64" i="1"/>
  <c r="L64" i="1" s="1"/>
  <c r="K65" i="1"/>
  <c r="L65" i="1" s="1"/>
  <c r="K66" i="1"/>
  <c r="L66" i="1" s="1"/>
  <c r="K67" i="1"/>
  <c r="L67" i="1" s="1"/>
  <c r="K68" i="1"/>
  <c r="L68" i="1" s="1"/>
  <c r="K69" i="1"/>
  <c r="L69" i="1" s="1"/>
  <c r="K70" i="1"/>
  <c r="L70" i="1" s="1"/>
  <c r="K71" i="1"/>
  <c r="L71" i="1" s="1"/>
  <c r="K72" i="1"/>
  <c r="L72" i="1" s="1"/>
  <c r="K73" i="1"/>
  <c r="L73" i="1" s="1"/>
  <c r="K74" i="1"/>
  <c r="L74" i="1" s="1"/>
  <c r="K75" i="1"/>
  <c r="L75" i="1" s="1"/>
  <c r="K76" i="1"/>
  <c r="L76" i="1" s="1"/>
  <c r="K77" i="1"/>
  <c r="L77" i="1" s="1"/>
  <c r="K78" i="1"/>
  <c r="L78" i="1" s="1"/>
  <c r="K79" i="1"/>
  <c r="L79" i="1" s="1"/>
  <c r="K80" i="1"/>
  <c r="L80" i="1" s="1"/>
  <c r="K81" i="1"/>
  <c r="L81" i="1" s="1"/>
  <c r="K82" i="1"/>
  <c r="L82" i="1" s="1"/>
  <c r="K83" i="1"/>
  <c r="L83" i="1" s="1"/>
  <c r="K84" i="1"/>
  <c r="L84" i="1" s="1"/>
  <c r="K85" i="1"/>
  <c r="L85" i="1" s="1"/>
  <c r="K86" i="1"/>
  <c r="L86" i="1" s="1"/>
  <c r="K87" i="1"/>
  <c r="L87" i="1" s="1"/>
  <c r="K88" i="1"/>
  <c r="L88" i="1" s="1"/>
  <c r="K89" i="1"/>
  <c r="L89" i="1" s="1"/>
  <c r="K90" i="1"/>
  <c r="L90" i="1" s="1"/>
  <c r="K91" i="1"/>
  <c r="L91" i="1" s="1"/>
  <c r="K92" i="1"/>
  <c r="L92" i="1" s="1"/>
  <c r="K93" i="1"/>
  <c r="L93" i="1" s="1"/>
  <c r="K94" i="1"/>
  <c r="L94" i="1" s="1"/>
  <c r="K95" i="1"/>
  <c r="L95" i="1" s="1"/>
  <c r="K96" i="1"/>
  <c r="L96" i="1" s="1"/>
  <c r="K97" i="1"/>
  <c r="L97" i="1" s="1"/>
  <c r="K98" i="1"/>
  <c r="L98" i="1" s="1"/>
  <c r="K99" i="1"/>
  <c r="L99" i="1" s="1"/>
  <c r="K100" i="1"/>
  <c r="L100" i="1" s="1"/>
  <c r="K101" i="1"/>
  <c r="L101" i="1" s="1"/>
  <c r="K102" i="1"/>
  <c r="L102" i="1" s="1"/>
  <c r="K103" i="1"/>
  <c r="L103" i="1" s="1"/>
  <c r="K104" i="1"/>
  <c r="L104" i="1" s="1"/>
  <c r="K105" i="1"/>
  <c r="L105" i="1" s="1"/>
  <c r="K106" i="1"/>
  <c r="L106" i="1" s="1"/>
  <c r="K107" i="1"/>
  <c r="L107" i="1" s="1"/>
  <c r="K108" i="1"/>
  <c r="L108" i="1" s="1"/>
  <c r="K109" i="1"/>
  <c r="L109" i="1" s="1"/>
  <c r="K110" i="1"/>
  <c r="L110" i="1" s="1"/>
  <c r="K111" i="1"/>
  <c r="L111" i="1" s="1"/>
  <c r="K112" i="1"/>
  <c r="L112" i="1" s="1"/>
  <c r="K113" i="1"/>
  <c r="L113" i="1" s="1"/>
  <c r="K114" i="1"/>
  <c r="L114" i="1" s="1"/>
  <c r="K115" i="1"/>
  <c r="L115" i="1" s="1"/>
  <c r="K116" i="1"/>
  <c r="L116" i="1" s="1"/>
  <c r="K117" i="1"/>
  <c r="L117" i="1" s="1"/>
  <c r="K118" i="1"/>
  <c r="L118" i="1" s="1"/>
  <c r="K119" i="1"/>
  <c r="L119" i="1" s="1"/>
  <c r="K120" i="1"/>
  <c r="L120" i="1" s="1"/>
  <c r="K121" i="1"/>
  <c r="L121" i="1" s="1"/>
  <c r="K122" i="1"/>
  <c r="L122" i="1" s="1"/>
  <c r="K123" i="1"/>
  <c r="L123" i="1" s="1"/>
  <c r="K124" i="1"/>
  <c r="L124" i="1" s="1"/>
  <c r="K125" i="1"/>
  <c r="L125" i="1" s="1"/>
  <c r="K126" i="1"/>
  <c r="L126" i="1" s="1"/>
  <c r="K127" i="1"/>
  <c r="L127" i="1" s="1"/>
  <c r="K128" i="1"/>
  <c r="L128" i="1" s="1"/>
  <c r="K129" i="1"/>
  <c r="L129" i="1" s="1"/>
  <c r="K130" i="1"/>
  <c r="L130" i="1" s="1"/>
  <c r="K131" i="1"/>
  <c r="L131" i="1" s="1"/>
  <c r="K132" i="1"/>
  <c r="L132" i="1" s="1"/>
  <c r="K133" i="1"/>
  <c r="L133" i="1" s="1"/>
  <c r="K134" i="1"/>
  <c r="L134" i="1" s="1"/>
  <c r="K135" i="1"/>
  <c r="L135" i="1" s="1"/>
  <c r="K136" i="1"/>
  <c r="L136" i="1" s="1"/>
  <c r="K137" i="1"/>
  <c r="L137" i="1" s="1"/>
  <c r="K138" i="1"/>
  <c r="L138" i="1" s="1"/>
  <c r="K139" i="1"/>
  <c r="L139" i="1" s="1"/>
  <c r="K140" i="1"/>
  <c r="L140" i="1" s="1"/>
  <c r="K141" i="1"/>
  <c r="L141" i="1" s="1"/>
  <c r="K142" i="1"/>
  <c r="L142" i="1" s="1"/>
  <c r="K143" i="1"/>
  <c r="L143" i="1" s="1"/>
  <c r="K144" i="1"/>
  <c r="L144" i="1" s="1"/>
  <c r="K145" i="1"/>
  <c r="L145" i="1" s="1"/>
  <c r="K146" i="1"/>
  <c r="L146" i="1" s="1"/>
  <c r="K147" i="1"/>
  <c r="L147" i="1" s="1"/>
  <c r="K148" i="1"/>
  <c r="L148" i="1" s="1"/>
  <c r="K149" i="1"/>
  <c r="L149" i="1" s="1"/>
  <c r="K150" i="1"/>
  <c r="L150" i="1" s="1"/>
  <c r="K151" i="1"/>
  <c r="L151" i="1" s="1"/>
  <c r="K152" i="1"/>
  <c r="L152" i="1" s="1"/>
  <c r="K153" i="1"/>
  <c r="L153" i="1" s="1"/>
  <c r="K154" i="1"/>
  <c r="L154" i="1" s="1"/>
  <c r="K155" i="1"/>
  <c r="L155" i="1" s="1"/>
  <c r="K156" i="1"/>
  <c r="L156" i="1" s="1"/>
  <c r="K157" i="1"/>
  <c r="L157" i="1" s="1"/>
  <c r="K158" i="1"/>
  <c r="L158" i="1" s="1"/>
  <c r="K159" i="1"/>
  <c r="L159" i="1" s="1"/>
  <c r="K160" i="1"/>
  <c r="L160" i="1" s="1"/>
  <c r="K161" i="1"/>
  <c r="L161" i="1" s="1"/>
  <c r="K162" i="1"/>
  <c r="L162" i="1" s="1"/>
  <c r="K163" i="1"/>
  <c r="L163" i="1" s="1"/>
  <c r="K164" i="1"/>
  <c r="L164" i="1" s="1"/>
  <c r="K165" i="1"/>
  <c r="L165" i="1" s="1"/>
  <c r="K166" i="1"/>
  <c r="L166" i="1" s="1"/>
  <c r="K167" i="1"/>
  <c r="L167" i="1" s="1"/>
  <c r="K168" i="1"/>
  <c r="L168" i="1" s="1"/>
  <c r="K169" i="1"/>
  <c r="L169" i="1" s="1"/>
  <c r="K170" i="1"/>
  <c r="L170" i="1" s="1"/>
  <c r="K171" i="1"/>
  <c r="L171" i="1" s="1"/>
  <c r="K172" i="1"/>
  <c r="L172" i="1" s="1"/>
  <c r="K173" i="1"/>
  <c r="L173" i="1" s="1"/>
  <c r="K174" i="1"/>
  <c r="L174" i="1" s="1"/>
  <c r="K175" i="1"/>
  <c r="L175" i="1" s="1"/>
  <c r="K176" i="1"/>
  <c r="L176" i="1" s="1"/>
  <c r="K177" i="1"/>
  <c r="L177" i="1" s="1"/>
  <c r="K178" i="1"/>
  <c r="L178" i="1" s="1"/>
  <c r="K179" i="1"/>
  <c r="L179" i="1" s="1"/>
  <c r="K180" i="1"/>
  <c r="L180" i="1" s="1"/>
  <c r="K181" i="1"/>
  <c r="L181" i="1" s="1"/>
  <c r="K182" i="1"/>
  <c r="L182" i="1" s="1"/>
  <c r="K183" i="1"/>
  <c r="L183" i="1" s="1"/>
  <c r="K184" i="1"/>
  <c r="L184" i="1" s="1"/>
  <c r="K185" i="1"/>
  <c r="L185" i="1" s="1"/>
  <c r="K186" i="1"/>
  <c r="L186" i="1" s="1"/>
  <c r="K187" i="1"/>
  <c r="L187" i="1" s="1"/>
  <c r="K188" i="1"/>
  <c r="L188" i="1" s="1"/>
  <c r="K189" i="1"/>
  <c r="L189" i="1" s="1"/>
  <c r="K190" i="1"/>
  <c r="L190" i="1" s="1"/>
  <c r="K191" i="1"/>
  <c r="L191" i="1" s="1"/>
  <c r="K192" i="1"/>
  <c r="L192" i="1" s="1"/>
  <c r="K193" i="1"/>
  <c r="L193" i="1" s="1"/>
  <c r="K194" i="1"/>
  <c r="L194" i="1" s="1"/>
  <c r="K195" i="1"/>
  <c r="L195" i="1" s="1"/>
  <c r="K196" i="1"/>
  <c r="L196" i="1" s="1"/>
  <c r="K197" i="1"/>
  <c r="L197" i="1" s="1"/>
  <c r="K198" i="1"/>
  <c r="L198" i="1" s="1"/>
  <c r="K199" i="1"/>
  <c r="L199" i="1" s="1"/>
  <c r="K200" i="1"/>
  <c r="L200" i="1" s="1"/>
  <c r="K201" i="1"/>
  <c r="L201" i="1" s="1"/>
  <c r="K202" i="1"/>
  <c r="L202" i="1" s="1"/>
  <c r="K203" i="1"/>
  <c r="L203" i="1" s="1"/>
  <c r="K204" i="1"/>
  <c r="L204" i="1" s="1"/>
  <c r="K205" i="1"/>
  <c r="L205" i="1" s="1"/>
  <c r="K206" i="1"/>
  <c r="L206" i="1" s="1"/>
  <c r="K207" i="1"/>
  <c r="L207" i="1" s="1"/>
  <c r="K208" i="1"/>
  <c r="L208" i="1" s="1"/>
  <c r="K209" i="1"/>
  <c r="L209" i="1" s="1"/>
  <c r="K210" i="1"/>
  <c r="L210" i="1" s="1"/>
  <c r="K211" i="1"/>
  <c r="L211" i="1" s="1"/>
  <c r="K212" i="1"/>
  <c r="L212" i="1" s="1"/>
  <c r="K213" i="1"/>
  <c r="L213" i="1" s="1"/>
  <c r="K214" i="1"/>
  <c r="L214" i="1" s="1"/>
  <c r="K215" i="1"/>
  <c r="L215" i="1" s="1"/>
  <c r="K216" i="1"/>
  <c r="L216" i="1" s="1"/>
  <c r="K217" i="1"/>
  <c r="L217" i="1" s="1"/>
  <c r="K218" i="1"/>
  <c r="L218" i="1" s="1"/>
  <c r="K219" i="1"/>
  <c r="L219" i="1" s="1"/>
  <c r="K220" i="1"/>
  <c r="L220" i="1" s="1"/>
  <c r="K221" i="1"/>
  <c r="L221" i="1" s="1"/>
  <c r="K222" i="1"/>
  <c r="L222" i="1" s="1"/>
  <c r="K223" i="1"/>
  <c r="L223" i="1" s="1"/>
  <c r="K224" i="1"/>
  <c r="L224" i="1" s="1"/>
  <c r="K225" i="1"/>
  <c r="L225" i="1" s="1"/>
  <c r="K226" i="1"/>
  <c r="L226" i="1" s="1"/>
  <c r="K227" i="1"/>
  <c r="L227" i="1" s="1"/>
  <c r="K228" i="1"/>
  <c r="L228" i="1" s="1"/>
  <c r="K229" i="1"/>
  <c r="L229" i="1" s="1"/>
  <c r="K230" i="1"/>
  <c r="L230" i="1" s="1"/>
  <c r="K231" i="1"/>
  <c r="L231" i="1" s="1"/>
  <c r="K232" i="1"/>
  <c r="L232" i="1" s="1"/>
  <c r="K233" i="1"/>
  <c r="L233" i="1" s="1"/>
  <c r="K234" i="1"/>
  <c r="L234" i="1" s="1"/>
  <c r="K235" i="1"/>
  <c r="L235" i="1" s="1"/>
  <c r="K236" i="1"/>
  <c r="L236" i="1" s="1"/>
  <c r="K237" i="1"/>
  <c r="L237" i="1" s="1"/>
  <c r="K238" i="1"/>
  <c r="L238" i="1" s="1"/>
  <c r="K239" i="1"/>
  <c r="L239" i="1" s="1"/>
  <c r="K240" i="1"/>
  <c r="L240" i="1" s="1"/>
  <c r="K241" i="1"/>
  <c r="L241" i="1" s="1"/>
  <c r="K242" i="1"/>
  <c r="L242" i="1" s="1"/>
  <c r="K243" i="1"/>
  <c r="L243" i="1" s="1"/>
  <c r="K244" i="1"/>
  <c r="L244" i="1" s="1"/>
  <c r="K245" i="1"/>
  <c r="L245" i="1" s="1"/>
  <c r="K246" i="1"/>
  <c r="L246" i="1" s="1"/>
  <c r="K247" i="1"/>
  <c r="L247" i="1" s="1"/>
  <c r="K248" i="1"/>
  <c r="L248" i="1" s="1"/>
  <c r="K249" i="1"/>
  <c r="L249" i="1" s="1"/>
  <c r="K250" i="1"/>
  <c r="L250" i="1" s="1"/>
  <c r="K251" i="1"/>
  <c r="L251" i="1" s="1"/>
  <c r="K252" i="1"/>
  <c r="L252" i="1" s="1"/>
  <c r="K253" i="1"/>
  <c r="L253" i="1" s="1"/>
  <c r="K254" i="1"/>
  <c r="L254" i="1" s="1"/>
  <c r="K255" i="1"/>
  <c r="L255" i="1" s="1"/>
  <c r="K256" i="1"/>
  <c r="L256" i="1" s="1"/>
  <c r="K257" i="1"/>
  <c r="L257" i="1" s="1"/>
  <c r="K258" i="1"/>
  <c r="L258" i="1" s="1"/>
  <c r="K259" i="1"/>
  <c r="L259" i="1" s="1"/>
  <c r="K260" i="1"/>
  <c r="L260" i="1" s="1"/>
  <c r="K261" i="1"/>
  <c r="L261" i="1" s="1"/>
  <c r="K262" i="1"/>
  <c r="L262" i="1" s="1"/>
  <c r="K263" i="1"/>
  <c r="L263" i="1" s="1"/>
  <c r="K264" i="1"/>
  <c r="L264" i="1" s="1"/>
  <c r="K265" i="1"/>
  <c r="L265" i="1" s="1"/>
  <c r="K266" i="1"/>
  <c r="L266" i="1" s="1"/>
  <c r="K267" i="1"/>
  <c r="L267" i="1" s="1"/>
  <c r="K268" i="1"/>
  <c r="L268" i="1" s="1"/>
  <c r="K269" i="1"/>
  <c r="L269" i="1" s="1"/>
  <c r="K270" i="1"/>
  <c r="L270" i="1" s="1"/>
  <c r="K271" i="1"/>
  <c r="L271" i="1" s="1"/>
  <c r="K272" i="1"/>
  <c r="L272" i="1" s="1"/>
  <c r="K273" i="1"/>
  <c r="L273" i="1" s="1"/>
  <c r="K274" i="1"/>
  <c r="L274" i="1" s="1"/>
  <c r="K275" i="1"/>
  <c r="L275" i="1" s="1"/>
  <c r="K276" i="1"/>
  <c r="L276" i="1" s="1"/>
  <c r="K277" i="1"/>
  <c r="L277" i="1" s="1"/>
  <c r="K278" i="1"/>
  <c r="L278" i="1" s="1"/>
  <c r="K279" i="1"/>
  <c r="L279" i="1" s="1"/>
  <c r="K280" i="1"/>
  <c r="L280" i="1" s="1"/>
  <c r="K281" i="1"/>
  <c r="L281" i="1" s="1"/>
  <c r="K282" i="1"/>
  <c r="L282" i="1" s="1"/>
  <c r="K283" i="1"/>
  <c r="L283" i="1" s="1"/>
  <c r="K284" i="1"/>
  <c r="L284" i="1" s="1"/>
  <c r="K285" i="1"/>
  <c r="L285" i="1" s="1"/>
  <c r="K286" i="1"/>
  <c r="L286" i="1" s="1"/>
  <c r="K287" i="1"/>
  <c r="L287" i="1" s="1"/>
  <c r="K288" i="1"/>
  <c r="L288" i="1" s="1"/>
  <c r="K289" i="1"/>
  <c r="L289" i="1" s="1"/>
  <c r="K290" i="1"/>
  <c r="L290" i="1" s="1"/>
  <c r="K291" i="1"/>
  <c r="L291" i="1" s="1"/>
  <c r="K292" i="1"/>
  <c r="L292" i="1" s="1"/>
  <c r="K293" i="1"/>
  <c r="L293" i="1" s="1"/>
  <c r="K294" i="1"/>
  <c r="L294" i="1" s="1"/>
  <c r="K295" i="1"/>
  <c r="L295" i="1" s="1"/>
  <c r="K296" i="1"/>
  <c r="L296" i="1" s="1"/>
  <c r="K297" i="1"/>
  <c r="L297" i="1" s="1"/>
  <c r="K298" i="1"/>
  <c r="L298" i="1" s="1"/>
  <c r="K299" i="1"/>
  <c r="L299" i="1" s="1"/>
  <c r="K300" i="1"/>
  <c r="L300" i="1" s="1"/>
  <c r="K301" i="1"/>
  <c r="L301" i="1" s="1"/>
  <c r="K302" i="1"/>
  <c r="L302" i="1" s="1"/>
  <c r="K303" i="1"/>
  <c r="L303" i="1" s="1"/>
  <c r="K304" i="1"/>
  <c r="L304" i="1" s="1"/>
  <c r="K305" i="1"/>
  <c r="L305" i="1" s="1"/>
  <c r="K306" i="1"/>
  <c r="L306" i="1" s="1"/>
  <c r="K307" i="1"/>
  <c r="L307" i="1" s="1"/>
  <c r="K308" i="1"/>
  <c r="L308" i="1" s="1"/>
  <c r="K309" i="1"/>
  <c r="L309" i="1" s="1"/>
  <c r="K310" i="1"/>
  <c r="L310" i="1" s="1"/>
  <c r="K311" i="1"/>
  <c r="L311" i="1" s="1"/>
  <c r="K312" i="1"/>
  <c r="L312" i="1" s="1"/>
  <c r="K313" i="1"/>
  <c r="L313" i="1" s="1"/>
  <c r="K314" i="1"/>
  <c r="L314" i="1" s="1"/>
  <c r="K315" i="1"/>
  <c r="L315" i="1" s="1"/>
  <c r="K316" i="1"/>
  <c r="L316" i="1" s="1"/>
  <c r="K317" i="1"/>
  <c r="L317" i="1" s="1"/>
  <c r="K318" i="1"/>
  <c r="L318" i="1" s="1"/>
  <c r="K319" i="1"/>
  <c r="L319" i="1" s="1"/>
  <c r="K320" i="1"/>
  <c r="L320" i="1" s="1"/>
  <c r="K321" i="1"/>
  <c r="L321" i="1" s="1"/>
  <c r="K322" i="1"/>
  <c r="L322" i="1" s="1"/>
  <c r="K323" i="1"/>
  <c r="L323" i="1" s="1"/>
  <c r="K324" i="1"/>
  <c r="L324" i="1" s="1"/>
  <c r="K325" i="1"/>
  <c r="L325" i="1" s="1"/>
  <c r="K326" i="1"/>
  <c r="L326" i="1" s="1"/>
  <c r="K327" i="1"/>
  <c r="L327" i="1" s="1"/>
  <c r="K328" i="1"/>
  <c r="L328" i="1" s="1"/>
  <c r="K329" i="1"/>
  <c r="L329" i="1" s="1"/>
  <c r="K330" i="1"/>
  <c r="L330" i="1" s="1"/>
  <c r="K331" i="1"/>
  <c r="L331" i="1" s="1"/>
  <c r="K332" i="1"/>
  <c r="L332" i="1" s="1"/>
  <c r="K333" i="1"/>
  <c r="L333" i="1" s="1"/>
  <c r="K334" i="1"/>
  <c r="L334" i="1" s="1"/>
  <c r="K335" i="1"/>
  <c r="L335" i="1" s="1"/>
  <c r="K336" i="1"/>
  <c r="L336" i="1" s="1"/>
  <c r="K337" i="1"/>
  <c r="L337" i="1" s="1"/>
  <c r="K338" i="1"/>
  <c r="L338" i="1" s="1"/>
  <c r="K339" i="1"/>
  <c r="L339" i="1" s="1"/>
  <c r="K340" i="1"/>
  <c r="L340" i="1" s="1"/>
  <c r="K341" i="1"/>
  <c r="L341" i="1" s="1"/>
  <c r="K342" i="1"/>
  <c r="L342" i="1" s="1"/>
  <c r="K343" i="1"/>
  <c r="L343" i="1" s="1"/>
  <c r="K344" i="1"/>
  <c r="L344" i="1" s="1"/>
  <c r="K345" i="1"/>
  <c r="L345" i="1" s="1"/>
  <c r="K346" i="1"/>
  <c r="L346" i="1" s="1"/>
  <c r="K347" i="1"/>
  <c r="L347" i="1" s="1"/>
  <c r="K348" i="1"/>
  <c r="L348" i="1" s="1"/>
  <c r="K349" i="1"/>
  <c r="L349" i="1" s="1"/>
  <c r="K350" i="1"/>
  <c r="L350" i="1" s="1"/>
  <c r="K351" i="1"/>
  <c r="L351" i="1" s="1"/>
  <c r="K352" i="1"/>
  <c r="L352" i="1" s="1"/>
  <c r="K353" i="1"/>
  <c r="L353" i="1" s="1"/>
  <c r="K354" i="1"/>
  <c r="L354" i="1" s="1"/>
  <c r="K355" i="1"/>
  <c r="L355" i="1" s="1"/>
  <c r="K356" i="1"/>
  <c r="L356" i="1" s="1"/>
  <c r="K357" i="1"/>
  <c r="L357" i="1" s="1"/>
  <c r="K358" i="1"/>
  <c r="L358" i="1" s="1"/>
  <c r="K359" i="1"/>
  <c r="L359" i="1" s="1"/>
  <c r="K360" i="1"/>
  <c r="L360" i="1" s="1"/>
  <c r="K361" i="1"/>
  <c r="L361" i="1" s="1"/>
  <c r="K362" i="1"/>
  <c r="L362" i="1" s="1"/>
  <c r="K363" i="1"/>
  <c r="L363" i="1" s="1"/>
  <c r="K364" i="1"/>
  <c r="L364" i="1" s="1"/>
  <c r="K365" i="1"/>
  <c r="L365" i="1" s="1"/>
  <c r="K366" i="1"/>
  <c r="L366" i="1" s="1"/>
  <c r="K367" i="1"/>
  <c r="L367" i="1" s="1"/>
  <c r="K368" i="1"/>
  <c r="L368" i="1" s="1"/>
  <c r="K369" i="1"/>
  <c r="L369" i="1" s="1"/>
  <c r="K370" i="1"/>
  <c r="L370" i="1" s="1"/>
  <c r="K371" i="1"/>
  <c r="L371" i="1" s="1"/>
  <c r="K372" i="1"/>
  <c r="L372" i="1" s="1"/>
  <c r="K373" i="1"/>
  <c r="L373" i="1" s="1"/>
  <c r="K374" i="1"/>
  <c r="L374" i="1" s="1"/>
  <c r="K375" i="1"/>
  <c r="L375" i="1" s="1"/>
  <c r="K376" i="1"/>
  <c r="L376" i="1" s="1"/>
  <c r="K377" i="1"/>
  <c r="L377" i="1" s="1"/>
  <c r="K378" i="1"/>
  <c r="L378" i="1" s="1"/>
  <c r="K379" i="1"/>
  <c r="L379" i="1" s="1"/>
  <c r="K380" i="1"/>
  <c r="L380" i="1" s="1"/>
  <c r="K381" i="1"/>
  <c r="L381" i="1" s="1"/>
  <c r="K382" i="1"/>
  <c r="L382" i="1" s="1"/>
  <c r="K383" i="1"/>
  <c r="L383" i="1" s="1"/>
  <c r="K384" i="1"/>
  <c r="L384" i="1" s="1"/>
  <c r="K385" i="1"/>
  <c r="L385" i="1" s="1"/>
  <c r="K386" i="1"/>
  <c r="L386" i="1" s="1"/>
  <c r="K387" i="1"/>
  <c r="L387" i="1" s="1"/>
  <c r="K388" i="1"/>
  <c r="L388" i="1" s="1"/>
  <c r="K389" i="1"/>
  <c r="L389" i="1" s="1"/>
  <c r="K390" i="1"/>
  <c r="L390" i="1" s="1"/>
  <c r="K391" i="1"/>
  <c r="L391" i="1" s="1"/>
  <c r="K392" i="1"/>
  <c r="L392" i="1" s="1"/>
  <c r="K393" i="1"/>
  <c r="L393" i="1" s="1"/>
  <c r="K394" i="1"/>
  <c r="L394" i="1" s="1"/>
  <c r="K395" i="1"/>
  <c r="L395" i="1" s="1"/>
  <c r="K396" i="1"/>
  <c r="L396" i="1" s="1"/>
  <c r="K397" i="1"/>
  <c r="L397" i="1" s="1"/>
  <c r="K398" i="1"/>
  <c r="L398" i="1" s="1"/>
  <c r="K399" i="1"/>
  <c r="L399" i="1" s="1"/>
  <c r="K400" i="1"/>
  <c r="L400" i="1" s="1"/>
  <c r="K401" i="1"/>
  <c r="L401" i="1" s="1"/>
  <c r="K402" i="1"/>
  <c r="L402" i="1" s="1"/>
  <c r="K403" i="1"/>
  <c r="L403" i="1" s="1"/>
  <c r="K404" i="1"/>
  <c r="L404" i="1" s="1"/>
  <c r="K405" i="1"/>
  <c r="L405" i="1" s="1"/>
  <c r="K406" i="1"/>
  <c r="L406" i="1" s="1"/>
  <c r="K407" i="1"/>
  <c r="L407" i="1" s="1"/>
  <c r="K408" i="1"/>
  <c r="L408" i="1" s="1"/>
  <c r="K409" i="1"/>
  <c r="L409" i="1" s="1"/>
  <c r="K410" i="1"/>
  <c r="L410" i="1" s="1"/>
  <c r="K411" i="1"/>
  <c r="L411" i="1" s="1"/>
  <c r="K412" i="1"/>
  <c r="L412" i="1" s="1"/>
  <c r="K413" i="1"/>
  <c r="L413" i="1" s="1"/>
  <c r="K414" i="1"/>
  <c r="L414" i="1" s="1"/>
  <c r="K415" i="1"/>
  <c r="L415" i="1" s="1"/>
  <c r="K416" i="1"/>
  <c r="L416" i="1" s="1"/>
  <c r="K417" i="1"/>
  <c r="L417" i="1" s="1"/>
  <c r="K418" i="1"/>
  <c r="L418" i="1" s="1"/>
  <c r="K419" i="1"/>
  <c r="L419" i="1" s="1"/>
  <c r="K420" i="1"/>
  <c r="L420" i="1" s="1"/>
  <c r="K421" i="1"/>
  <c r="L421" i="1" s="1"/>
  <c r="K422" i="1"/>
  <c r="L422" i="1" s="1"/>
  <c r="K423" i="1"/>
  <c r="L423" i="1" s="1"/>
  <c r="K424" i="1"/>
  <c r="L424" i="1" s="1"/>
  <c r="K425" i="1"/>
  <c r="L425" i="1" s="1"/>
  <c r="K426" i="1"/>
  <c r="L426" i="1" s="1"/>
  <c r="K427" i="1"/>
  <c r="L427" i="1" s="1"/>
  <c r="K428" i="1"/>
  <c r="L428" i="1" s="1"/>
  <c r="K429" i="1"/>
  <c r="L429" i="1" s="1"/>
  <c r="K430" i="1"/>
  <c r="L430" i="1" s="1"/>
  <c r="K431" i="1"/>
  <c r="L431" i="1" s="1"/>
  <c r="K432" i="1"/>
  <c r="L432" i="1" s="1"/>
  <c r="K433" i="1"/>
  <c r="L433" i="1" s="1"/>
  <c r="K434" i="1"/>
  <c r="L434" i="1" s="1"/>
  <c r="K435" i="1"/>
  <c r="L435" i="1" s="1"/>
  <c r="K436" i="1"/>
  <c r="L436" i="1" s="1"/>
  <c r="K437" i="1"/>
  <c r="L437" i="1" s="1"/>
  <c r="K438" i="1"/>
  <c r="L438" i="1" s="1"/>
  <c r="K439" i="1"/>
  <c r="L439" i="1" s="1"/>
  <c r="K440" i="1"/>
  <c r="L440" i="1" s="1"/>
  <c r="K441" i="1"/>
  <c r="L441" i="1" s="1"/>
  <c r="K442" i="1"/>
  <c r="L442" i="1" s="1"/>
  <c r="K443" i="1"/>
  <c r="L443" i="1" s="1"/>
  <c r="K444" i="1"/>
  <c r="L444" i="1" s="1"/>
  <c r="K445" i="1"/>
  <c r="L445" i="1" s="1"/>
  <c r="K446" i="1"/>
  <c r="L446" i="1" s="1"/>
  <c r="K447" i="1"/>
  <c r="L447" i="1" s="1"/>
  <c r="K448" i="1"/>
  <c r="L448" i="1" s="1"/>
  <c r="K449" i="1"/>
  <c r="L449" i="1" s="1"/>
  <c r="K450" i="1"/>
  <c r="L450" i="1" s="1"/>
  <c r="K451" i="1"/>
  <c r="L451" i="1" s="1"/>
  <c r="K452" i="1"/>
  <c r="L452" i="1" s="1"/>
  <c r="K453" i="1"/>
  <c r="L453" i="1" s="1"/>
  <c r="K454" i="1"/>
  <c r="L454" i="1" s="1"/>
  <c r="K455" i="1"/>
  <c r="L455" i="1" s="1"/>
  <c r="K456" i="1"/>
  <c r="L456" i="1" s="1"/>
  <c r="K457" i="1"/>
  <c r="L457" i="1" s="1"/>
  <c r="K458" i="1"/>
  <c r="L458" i="1" s="1"/>
  <c r="K459" i="1"/>
  <c r="L459" i="1" s="1"/>
  <c r="K460" i="1"/>
  <c r="L460" i="1" s="1"/>
  <c r="K461" i="1"/>
  <c r="L461" i="1" s="1"/>
  <c r="K462" i="1"/>
  <c r="L462" i="1" s="1"/>
  <c r="K463" i="1"/>
  <c r="L463" i="1" s="1"/>
  <c r="K464" i="1"/>
  <c r="L464" i="1" s="1"/>
  <c r="K465" i="1"/>
  <c r="L465" i="1" s="1"/>
  <c r="K466" i="1"/>
  <c r="L466" i="1" s="1"/>
  <c r="K467" i="1"/>
  <c r="L467" i="1" s="1"/>
  <c r="K468" i="1"/>
  <c r="L468" i="1" s="1"/>
  <c r="K469" i="1"/>
  <c r="L469" i="1" s="1"/>
  <c r="K470" i="1"/>
  <c r="L470" i="1" s="1"/>
  <c r="K471" i="1"/>
  <c r="L471" i="1" s="1"/>
  <c r="K472" i="1"/>
  <c r="L472" i="1" s="1"/>
  <c r="K473" i="1"/>
  <c r="L473" i="1" s="1"/>
  <c r="K474" i="1"/>
  <c r="L474" i="1" s="1"/>
  <c r="K475" i="1"/>
  <c r="L475" i="1" s="1"/>
  <c r="K476" i="1"/>
  <c r="L476" i="1" s="1"/>
  <c r="K477" i="1"/>
  <c r="L477" i="1" s="1"/>
  <c r="K478" i="1"/>
  <c r="L478" i="1" s="1"/>
  <c r="K479" i="1"/>
  <c r="L479" i="1" s="1"/>
  <c r="K480" i="1"/>
  <c r="L480" i="1" s="1"/>
  <c r="K481" i="1"/>
  <c r="L481" i="1" s="1"/>
  <c r="K482" i="1"/>
  <c r="L482" i="1" s="1"/>
  <c r="K483" i="1"/>
  <c r="L483" i="1" s="1"/>
  <c r="K484" i="1"/>
  <c r="L484" i="1" s="1"/>
  <c r="K485" i="1"/>
  <c r="L485" i="1" s="1"/>
  <c r="K486" i="1"/>
  <c r="L486" i="1" s="1"/>
  <c r="K487" i="1"/>
  <c r="L487" i="1" s="1"/>
  <c r="K488" i="1"/>
  <c r="L488" i="1" s="1"/>
  <c r="K489" i="1"/>
  <c r="L489" i="1" s="1"/>
  <c r="K490" i="1"/>
  <c r="L490" i="1" s="1"/>
  <c r="K491" i="1"/>
  <c r="L491" i="1" s="1"/>
  <c r="K492" i="1"/>
  <c r="L492" i="1" s="1"/>
  <c r="K493" i="1"/>
  <c r="L493" i="1" s="1"/>
  <c r="K494" i="1"/>
  <c r="L494" i="1" s="1"/>
  <c r="K495" i="1"/>
  <c r="L495" i="1" s="1"/>
  <c r="K496" i="1"/>
  <c r="L496" i="1" s="1"/>
  <c r="K497" i="1"/>
  <c r="L497" i="1" s="1"/>
  <c r="K498" i="1"/>
  <c r="L498" i="1" s="1"/>
  <c r="K499" i="1"/>
  <c r="L499" i="1" s="1"/>
  <c r="K500" i="1"/>
  <c r="L500" i="1" s="1"/>
  <c r="K501" i="1"/>
  <c r="L501" i="1" s="1"/>
  <c r="K502" i="1"/>
  <c r="L502" i="1" s="1"/>
  <c r="K503" i="1"/>
  <c r="L503" i="1" s="1"/>
  <c r="K504" i="1"/>
  <c r="L504" i="1" s="1"/>
  <c r="K505" i="1"/>
  <c r="L505" i="1" s="1"/>
  <c r="K506" i="1"/>
  <c r="L506" i="1" s="1"/>
  <c r="K507" i="1"/>
  <c r="L507" i="1" s="1"/>
  <c r="K508" i="1"/>
  <c r="L508" i="1" s="1"/>
  <c r="K509" i="1"/>
  <c r="L509" i="1" s="1"/>
  <c r="K510" i="1"/>
  <c r="L510" i="1" s="1"/>
  <c r="K511" i="1"/>
  <c r="L511" i="1" s="1"/>
  <c r="K512" i="1"/>
  <c r="L512" i="1" s="1"/>
  <c r="K513" i="1"/>
  <c r="L513" i="1" s="1"/>
  <c r="K514" i="1"/>
  <c r="L514" i="1" s="1"/>
  <c r="K515" i="1"/>
  <c r="L515" i="1" s="1"/>
  <c r="K516" i="1"/>
  <c r="L516" i="1" s="1"/>
  <c r="K517" i="1"/>
  <c r="L517" i="1" s="1"/>
  <c r="K518" i="1"/>
  <c r="L518" i="1" s="1"/>
  <c r="K519" i="1"/>
  <c r="L519" i="1" s="1"/>
  <c r="K520" i="1"/>
  <c r="L520" i="1" s="1"/>
  <c r="K521" i="1"/>
  <c r="L521" i="1" s="1"/>
  <c r="K522" i="1"/>
  <c r="L522" i="1" s="1"/>
  <c r="K523" i="1"/>
  <c r="L523" i="1" s="1"/>
  <c r="K524" i="1"/>
  <c r="L524" i="1" s="1"/>
  <c r="K525" i="1"/>
  <c r="L525" i="1" s="1"/>
  <c r="K526" i="1"/>
  <c r="L526" i="1" s="1"/>
  <c r="K527" i="1"/>
  <c r="L527" i="1" s="1"/>
  <c r="K528" i="1"/>
  <c r="L528" i="1" s="1"/>
  <c r="K529" i="1"/>
  <c r="L529" i="1" s="1"/>
  <c r="K530" i="1"/>
  <c r="L530" i="1" s="1"/>
  <c r="K531" i="1"/>
  <c r="L531" i="1" s="1"/>
  <c r="K532" i="1"/>
  <c r="L532" i="1" s="1"/>
  <c r="K533" i="1"/>
  <c r="L533" i="1" s="1"/>
  <c r="K534" i="1"/>
  <c r="L534" i="1" s="1"/>
  <c r="K535" i="1"/>
  <c r="L535" i="1" s="1"/>
  <c r="K536" i="1"/>
  <c r="L536" i="1" s="1"/>
  <c r="K537" i="1"/>
  <c r="L537" i="1" s="1"/>
  <c r="K538" i="1"/>
  <c r="L538" i="1" s="1"/>
  <c r="K539" i="1"/>
  <c r="L539" i="1" s="1"/>
  <c r="K540" i="1"/>
  <c r="L540" i="1" s="1"/>
  <c r="K541" i="1"/>
  <c r="L541" i="1" s="1"/>
  <c r="K542" i="1"/>
  <c r="L542" i="1" s="1"/>
  <c r="K543" i="1"/>
  <c r="L543" i="1" s="1"/>
  <c r="K544" i="1"/>
  <c r="L544" i="1" s="1"/>
  <c r="K545" i="1"/>
  <c r="L545" i="1" s="1"/>
  <c r="K546" i="1"/>
  <c r="L546" i="1" s="1"/>
  <c r="K547" i="1"/>
  <c r="L547" i="1" s="1"/>
  <c r="K548" i="1"/>
  <c r="L548" i="1" s="1"/>
  <c r="K549" i="1"/>
  <c r="L549" i="1" s="1"/>
  <c r="K550" i="1"/>
  <c r="L550" i="1" s="1"/>
  <c r="K551" i="1"/>
  <c r="L551" i="1" s="1"/>
  <c r="K552" i="1"/>
  <c r="L552" i="1" s="1"/>
  <c r="K553" i="1"/>
  <c r="L553" i="1" s="1"/>
  <c r="K554" i="1"/>
  <c r="L554" i="1" s="1"/>
  <c r="K555" i="1"/>
  <c r="L555" i="1" s="1"/>
  <c r="K556" i="1"/>
  <c r="L556" i="1" s="1"/>
  <c r="K557" i="1"/>
  <c r="L557" i="1" s="1"/>
  <c r="K558" i="1"/>
  <c r="L558" i="1" s="1"/>
  <c r="K559" i="1"/>
  <c r="L559" i="1" s="1"/>
  <c r="K560" i="1"/>
  <c r="L560" i="1" s="1"/>
  <c r="K561" i="1"/>
  <c r="L561" i="1" s="1"/>
  <c r="K562" i="1"/>
  <c r="L562" i="1" s="1"/>
  <c r="K563" i="1"/>
  <c r="L563" i="1" s="1"/>
  <c r="K564" i="1"/>
  <c r="L564" i="1" s="1"/>
  <c r="K565" i="1"/>
  <c r="L565" i="1" s="1"/>
  <c r="K566" i="1"/>
  <c r="L566" i="1" s="1"/>
  <c r="K567" i="1"/>
  <c r="L567" i="1" s="1"/>
  <c r="K568" i="1"/>
  <c r="L568" i="1" s="1"/>
  <c r="K569" i="1"/>
  <c r="L569" i="1" s="1"/>
  <c r="K570" i="1"/>
  <c r="L570" i="1" s="1"/>
  <c r="K571" i="1"/>
  <c r="L571" i="1" s="1"/>
  <c r="K572" i="1"/>
  <c r="L572" i="1" s="1"/>
  <c r="K573" i="1"/>
  <c r="L573" i="1" s="1"/>
  <c r="K574" i="1"/>
  <c r="L574" i="1" s="1"/>
  <c r="K575" i="1"/>
  <c r="L575" i="1" s="1"/>
  <c r="K576" i="1"/>
  <c r="L576" i="1" s="1"/>
  <c r="K577" i="1"/>
  <c r="L577" i="1" s="1"/>
  <c r="K578" i="1"/>
  <c r="L578" i="1" s="1"/>
  <c r="K579" i="1"/>
  <c r="L579" i="1" s="1"/>
  <c r="K580" i="1"/>
  <c r="L580" i="1" s="1"/>
  <c r="K581" i="1"/>
  <c r="L581" i="1" s="1"/>
  <c r="K582" i="1"/>
  <c r="L582" i="1" s="1"/>
  <c r="K583" i="1"/>
  <c r="L583" i="1" s="1"/>
  <c r="K584" i="1"/>
  <c r="L584" i="1" s="1"/>
  <c r="K585" i="1"/>
  <c r="L585" i="1" s="1"/>
  <c r="K586" i="1"/>
  <c r="L586" i="1" s="1"/>
  <c r="K587" i="1"/>
  <c r="L587" i="1" s="1"/>
  <c r="K588" i="1"/>
  <c r="L588" i="1" s="1"/>
  <c r="K589" i="1"/>
  <c r="L589" i="1" s="1"/>
  <c r="K590" i="1"/>
  <c r="L590" i="1" s="1"/>
  <c r="K591" i="1"/>
  <c r="L591" i="1" s="1"/>
  <c r="K592" i="1"/>
  <c r="L592" i="1" s="1"/>
  <c r="K593" i="1"/>
  <c r="L593" i="1" s="1"/>
  <c r="K594" i="1"/>
  <c r="L594" i="1" s="1"/>
  <c r="K595" i="1"/>
  <c r="L595" i="1" s="1"/>
  <c r="K596" i="1"/>
  <c r="L596" i="1" s="1"/>
  <c r="K597" i="1"/>
  <c r="L597" i="1" s="1"/>
  <c r="K598" i="1"/>
  <c r="L598" i="1" s="1"/>
  <c r="K599" i="1"/>
  <c r="L599" i="1" s="1"/>
  <c r="K600" i="1"/>
  <c r="L600" i="1" s="1"/>
  <c r="K601" i="1"/>
  <c r="L601" i="1" s="1"/>
  <c r="K602" i="1"/>
  <c r="L602" i="1" s="1"/>
  <c r="K603" i="1"/>
  <c r="L603" i="1" s="1"/>
  <c r="K604" i="1"/>
  <c r="L604" i="1" s="1"/>
  <c r="K605" i="1"/>
  <c r="L605" i="1" s="1"/>
  <c r="K606" i="1"/>
  <c r="L606" i="1" s="1"/>
  <c r="K607" i="1"/>
  <c r="L607" i="1" s="1"/>
  <c r="K608" i="1"/>
  <c r="L608" i="1" s="1"/>
  <c r="K609" i="1"/>
  <c r="L609" i="1" s="1"/>
  <c r="K610" i="1"/>
  <c r="L610" i="1" s="1"/>
  <c r="K611" i="1"/>
  <c r="L611" i="1" s="1"/>
  <c r="K612" i="1"/>
  <c r="L612" i="1" s="1"/>
  <c r="K2" i="1"/>
  <c r="L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2" i="1"/>
</calcChain>
</file>

<file path=xl/sharedStrings.xml><?xml version="1.0" encoding="utf-8"?>
<sst xmlns="http://schemas.openxmlformats.org/spreadsheetml/2006/main" count="5363" uniqueCount="717">
  <si>
    <t>Row Labels</t>
  </si>
  <si>
    <t>Sum of Profit</t>
  </si>
  <si>
    <t>Sum of Gross_Sale</t>
  </si>
  <si>
    <t>ACT</t>
  </si>
  <si>
    <t>NSW</t>
  </si>
  <si>
    <t>NT</t>
  </si>
  <si>
    <t>QLD</t>
  </si>
  <si>
    <t>SA</t>
  </si>
  <si>
    <t>TAS</t>
  </si>
  <si>
    <t>VIC</t>
  </si>
  <si>
    <t>WA</t>
  </si>
  <si>
    <t>Grand Total</t>
  </si>
  <si>
    <t>C249</t>
  </si>
  <si>
    <t>C689</t>
  </si>
  <si>
    <t>C240</t>
  </si>
  <si>
    <t>C374</t>
  </si>
  <si>
    <t>C105</t>
  </si>
  <si>
    <t>C649</t>
  </si>
  <si>
    <t>C638</t>
  </si>
  <si>
    <t>C663</t>
  </si>
  <si>
    <t>C160</t>
  </si>
  <si>
    <t>NA</t>
  </si>
  <si>
    <t>C706</t>
  </si>
  <si>
    <t>C570</t>
  </si>
  <si>
    <t>C687</t>
  </si>
  <si>
    <t>C430</t>
  </si>
  <si>
    <t>C113</t>
  </si>
  <si>
    <t>C204</t>
  </si>
  <si>
    <t>C770</t>
  </si>
  <si>
    <t>C107</t>
  </si>
  <si>
    <t>C533</t>
  </si>
  <si>
    <t>C511</t>
  </si>
  <si>
    <t>C320</t>
  </si>
  <si>
    <t>C149</t>
  </si>
  <si>
    <t>C726</t>
  </si>
  <si>
    <t>C536</t>
  </si>
  <si>
    <t>C316</t>
  </si>
  <si>
    <t>C612</t>
  </si>
  <si>
    <t>C464</t>
  </si>
  <si>
    <t>C609</t>
  </si>
  <si>
    <t>C377</t>
  </si>
  <si>
    <t>C602</t>
  </si>
  <si>
    <t>C492</t>
  </si>
  <si>
    <t>C627</t>
  </si>
  <si>
    <t>C226</t>
  </si>
  <si>
    <t>C767</t>
  </si>
  <si>
    <t>C125</t>
  </si>
  <si>
    <t>C796</t>
  </si>
  <si>
    <t>C503</t>
  </si>
  <si>
    <t>C673</t>
  </si>
  <si>
    <t>C797</t>
  </si>
  <si>
    <t>C584</t>
  </si>
  <si>
    <t>C350</t>
  </si>
  <si>
    <t>C173</t>
  </si>
  <si>
    <t>C298</t>
  </si>
  <si>
    <t>C264</t>
  </si>
  <si>
    <t>C244</t>
  </si>
  <si>
    <t>C741</t>
  </si>
  <si>
    <t>C746</t>
  </si>
  <si>
    <t>C123</t>
  </si>
  <si>
    <t>C140</t>
  </si>
  <si>
    <t>C508</t>
  </si>
  <si>
    <t>C769</t>
  </si>
  <si>
    <t>C139</t>
  </si>
  <si>
    <t>C325</t>
  </si>
  <si>
    <t>C155</t>
  </si>
  <si>
    <t>C641</t>
  </si>
  <si>
    <t>C386</t>
  </si>
  <si>
    <t>C715</t>
  </si>
  <si>
    <t>C491</t>
  </si>
  <si>
    <t>C620</t>
  </si>
  <si>
    <t>C605</t>
  </si>
  <si>
    <t>C519</t>
  </si>
  <si>
    <t>C429</t>
  </si>
  <si>
    <t>C565</t>
  </si>
  <si>
    <t>C219</t>
  </si>
  <si>
    <t>C743</t>
  </si>
  <si>
    <t>C478</t>
  </si>
  <si>
    <t>C556</t>
  </si>
  <si>
    <t>C604</t>
  </si>
  <si>
    <t>C474</t>
  </si>
  <si>
    <t>C606</t>
  </si>
  <si>
    <t>C379</t>
  </si>
  <si>
    <t>C615</t>
  </si>
  <si>
    <t>C669</t>
  </si>
  <si>
    <t>C724</t>
  </si>
  <si>
    <t>C679</t>
  </si>
  <si>
    <t>C384</t>
  </si>
  <si>
    <t>C457</t>
  </si>
  <si>
    <t>C145</t>
  </si>
  <si>
    <t>C600</t>
  </si>
  <si>
    <t>C654</t>
  </si>
  <si>
    <t>C251</t>
  </si>
  <si>
    <t>C646</t>
  </si>
  <si>
    <t>C371</t>
  </si>
  <si>
    <t>C441</t>
  </si>
  <si>
    <t>C391</t>
  </si>
  <si>
    <t>C781</t>
  </si>
  <si>
    <t>C502</t>
  </si>
  <si>
    <t>C798</t>
  </si>
  <si>
    <t>C697</t>
  </si>
  <si>
    <t>C542</t>
  </si>
  <si>
    <t>C787</t>
  </si>
  <si>
    <t>C137</t>
  </si>
  <si>
    <t>C100</t>
  </si>
  <si>
    <t>C188</t>
  </si>
  <si>
    <t>C311</t>
  </si>
  <si>
    <t>C514</t>
  </si>
  <si>
    <t>C566</t>
  </si>
  <si>
    <t>C569</t>
  </si>
  <si>
    <t>C546</t>
  </si>
  <si>
    <t>C486</t>
  </si>
  <si>
    <t>C526</t>
  </si>
  <si>
    <t>C558</t>
  </si>
  <si>
    <t>C432</t>
  </si>
  <si>
    <t>C701</t>
  </si>
  <si>
    <t>C588</t>
  </si>
  <si>
    <t>C352</t>
  </si>
  <si>
    <t>C307</t>
  </si>
  <si>
    <t>C608</t>
  </si>
  <si>
    <t>C733</t>
  </si>
  <si>
    <t>C744</t>
  </si>
  <si>
    <t>C385</t>
  </si>
  <si>
    <t>C693</t>
  </si>
  <si>
    <t>C286</t>
  </si>
  <si>
    <t>C248</t>
  </si>
  <si>
    <t>C447</t>
  </si>
  <si>
    <t>C522</t>
  </si>
  <si>
    <t>C434</t>
  </si>
  <si>
    <t>C579</t>
  </si>
  <si>
    <t>C619</t>
  </si>
  <si>
    <t>C607</t>
  </si>
  <si>
    <t>C748</t>
  </si>
  <si>
    <t>C791</t>
  </si>
  <si>
    <t>C516</t>
  </si>
  <si>
    <t>C185</t>
  </si>
  <si>
    <t>C347</t>
  </si>
  <si>
    <t>C753</t>
  </si>
  <si>
    <t>C405</t>
  </si>
  <si>
    <t>C711</t>
  </si>
  <si>
    <t>C197</t>
  </si>
  <si>
    <t>C318</t>
  </si>
  <si>
    <t>C202</t>
  </si>
  <si>
    <t>C782</t>
  </si>
  <si>
    <t>C295</t>
  </si>
  <si>
    <t>C548</t>
  </si>
  <si>
    <t>C114</t>
  </si>
  <si>
    <t>C400</t>
  </si>
  <si>
    <t>C497</t>
  </si>
  <si>
    <t>C555</t>
  </si>
  <si>
    <t>C122</t>
  </si>
  <si>
    <t>C567</t>
  </si>
  <si>
    <t>C543</t>
  </si>
  <si>
    <t>C397</t>
  </si>
  <si>
    <t>C273</t>
  </si>
  <si>
    <t>C153</t>
  </si>
  <si>
    <t>C690</t>
  </si>
  <si>
    <t>C658</t>
  </si>
  <si>
    <t>C342</t>
  </si>
  <si>
    <t>C675</t>
  </si>
  <si>
    <t>C754</t>
  </si>
  <si>
    <t>C252</t>
  </si>
  <si>
    <t>C221</t>
  </si>
  <si>
    <t>C154</t>
  </si>
  <si>
    <t>C582</t>
  </si>
  <si>
    <t>C586</t>
  </si>
  <si>
    <t>C653</t>
  </si>
  <si>
    <t>C263</t>
  </si>
  <si>
    <t>C171</t>
  </si>
  <si>
    <t>C630</t>
  </si>
  <si>
    <t>C480</t>
  </si>
  <si>
    <t>C378</t>
  </si>
  <si>
    <t>C482</t>
  </si>
  <si>
    <t>C144</t>
  </si>
  <si>
    <t>C120</t>
  </si>
  <si>
    <t>C469</t>
  </si>
  <si>
    <t>C354</t>
  </si>
  <si>
    <t>C424</t>
  </si>
  <si>
    <t>C420</t>
  </si>
  <si>
    <t>C158</t>
  </si>
  <si>
    <t>C415</t>
  </si>
  <si>
    <t>C403</t>
  </si>
  <si>
    <t>C573</t>
  </si>
  <si>
    <t>C215</t>
  </si>
  <si>
    <t>C712</t>
  </si>
  <si>
    <t>C108</t>
  </si>
  <si>
    <t>C361</t>
  </si>
  <si>
    <t>C290</t>
  </si>
  <si>
    <t>C538</t>
  </si>
  <si>
    <t>C396</t>
  </si>
  <si>
    <t>C445</t>
  </si>
  <si>
    <t>C762</t>
  </si>
  <si>
    <t>C255</t>
  </si>
  <si>
    <t>C552</t>
  </si>
  <si>
    <t>C363</t>
  </si>
  <si>
    <t>C578</t>
  </si>
  <si>
    <t>C528</t>
  </si>
  <si>
    <t>C143</t>
  </si>
  <si>
    <t>C539</t>
  </si>
  <si>
    <t>C452</t>
  </si>
  <si>
    <t>C300</t>
  </si>
  <si>
    <t>C517</t>
  </si>
  <si>
    <t>C261</t>
  </si>
  <si>
    <t>C531</t>
  </si>
  <si>
    <t>C554</t>
  </si>
  <si>
    <t>C561</t>
  </si>
  <si>
    <t>C296</t>
  </si>
  <si>
    <t>C388</t>
  </si>
  <si>
    <t>C433</t>
  </si>
  <si>
    <t>C152</t>
  </si>
  <si>
    <t>C671</t>
  </si>
  <si>
    <t>C589</t>
  </si>
  <si>
    <t>C358</t>
  </si>
  <si>
    <t>C399</t>
  </si>
  <si>
    <t>C717</t>
  </si>
  <si>
    <t>C193</t>
  </si>
  <si>
    <t>C547</t>
  </si>
  <si>
    <t>C545</t>
  </si>
  <si>
    <t>C199</t>
  </si>
  <si>
    <t>C235</t>
  </si>
  <si>
    <t>C786</t>
  </si>
  <si>
    <t>C731</t>
  </si>
  <si>
    <t>C278</t>
  </si>
  <si>
    <t>C771</t>
  </si>
  <si>
    <t>C487</t>
  </si>
  <si>
    <t>C166</t>
  </si>
  <si>
    <t>C282</t>
  </si>
  <si>
    <t>C242</t>
  </si>
  <si>
    <t>C111</t>
  </si>
  <si>
    <t>C128</t>
  </si>
  <si>
    <t>C416</t>
  </si>
  <si>
    <t>C227</t>
  </si>
  <si>
    <t>C580</t>
  </si>
  <si>
    <t>C625</t>
  </si>
  <si>
    <t>C477</t>
  </si>
  <si>
    <t>C505</t>
  </si>
  <si>
    <t>C603</t>
  </si>
  <si>
    <t>C572</t>
  </si>
  <si>
    <t>C156</t>
  </si>
  <si>
    <t>C393</t>
  </si>
  <si>
    <t>C707</t>
  </si>
  <si>
    <t>C368</t>
  </si>
  <si>
    <t>C287</t>
  </si>
  <si>
    <t>C383</t>
  </si>
  <si>
    <t>C722</t>
  </si>
  <si>
    <t>C756</t>
  </si>
  <si>
    <t>C780</t>
  </si>
  <si>
    <t>C577</t>
  </si>
  <si>
    <t>C380</t>
  </si>
  <si>
    <t>C553</t>
  </si>
  <si>
    <t>C681</t>
  </si>
  <si>
    <t>C427</t>
  </si>
  <si>
    <t>C161</t>
  </si>
  <si>
    <t>C467</t>
  </si>
  <si>
    <t>C365</t>
  </si>
  <si>
    <t>C333</t>
  </si>
  <si>
    <t>C632</t>
  </si>
  <si>
    <t>C106</t>
  </si>
  <si>
    <t>C102</t>
  </si>
  <si>
    <t>C644</t>
  </si>
  <si>
    <t>C520</t>
  </si>
  <si>
    <t>C329</t>
  </si>
  <si>
    <t>C700</t>
  </si>
  <si>
    <t>C209</t>
  </si>
  <si>
    <t>C172</t>
  </si>
  <si>
    <t>C288</t>
  </si>
  <si>
    <t>C595</t>
  </si>
  <si>
    <t>C688</t>
  </si>
  <si>
    <t>C328</t>
  </si>
  <si>
    <t>C736</t>
  </si>
  <si>
    <t>C340</t>
  </si>
  <si>
    <t>C455</t>
  </si>
  <si>
    <t>C201</t>
  </si>
  <si>
    <t>C616</t>
  </si>
  <si>
    <t>C551</t>
  </si>
  <si>
    <t>C205</t>
  </si>
  <si>
    <t>C662</t>
  </si>
  <si>
    <t>C272</t>
  </si>
  <si>
    <t>C315</t>
  </si>
  <si>
    <t>C220</t>
  </si>
  <si>
    <t>C790</t>
  </si>
  <si>
    <t>C590</t>
  </si>
  <si>
    <t>C678</t>
  </si>
  <si>
    <t>C716</t>
  </si>
  <si>
    <t>C719</t>
  </si>
  <si>
    <t>C414</t>
  </si>
  <si>
    <t>C147</t>
  </si>
  <si>
    <t>C267</t>
  </si>
  <si>
    <t>C112</t>
  </si>
  <si>
    <t>C232</t>
  </si>
  <si>
    <t>C407</t>
  </si>
  <si>
    <t>C473</t>
  </si>
  <si>
    <t>C749</t>
  </si>
  <si>
    <t>C585</t>
  </si>
  <si>
    <t>C322</t>
  </si>
  <si>
    <t>C346</t>
  </si>
  <si>
    <t>C575</t>
  </si>
  <si>
    <t>C186</t>
  </si>
  <si>
    <t>C468</t>
  </si>
  <si>
    <t>C613</t>
  </si>
  <si>
    <t>C683</t>
  </si>
  <si>
    <t>C190</t>
  </si>
  <si>
    <t>C211</t>
  </si>
  <si>
    <t>C479</t>
  </si>
  <si>
    <t>C785</t>
  </si>
  <si>
    <t>C740</t>
  </si>
  <si>
    <t>C668</t>
  </si>
  <si>
    <t>C191</t>
  </si>
  <si>
    <t>C734</t>
  </si>
  <si>
    <t>C402</t>
  </si>
  <si>
    <t>C239</t>
  </si>
  <si>
    <t>C250</t>
  </si>
  <si>
    <t>C398</t>
  </si>
  <si>
    <t>C651</t>
  </si>
  <si>
    <t>C428</t>
  </si>
  <si>
    <t>C126</t>
  </si>
  <si>
    <t>C225</t>
  </si>
  <si>
    <t>C635</t>
  </si>
  <si>
    <t>C243</t>
  </si>
  <si>
    <t>C176</t>
  </si>
  <si>
    <t>C159</t>
  </si>
  <si>
    <t>C537</t>
  </si>
  <si>
    <t>C799</t>
  </si>
  <si>
    <t>C412</t>
  </si>
  <si>
    <t>C381</t>
  </si>
  <si>
    <t>C170</t>
  </si>
  <si>
    <t>C189</t>
  </si>
  <si>
    <t>C332</t>
  </si>
  <si>
    <t>C375</t>
  </si>
  <si>
    <t>C364</t>
  </si>
  <si>
    <t>C339</t>
  </si>
  <si>
    <t>C440</t>
  </si>
  <si>
    <t>C622</t>
  </si>
  <si>
    <t>C180</t>
  </si>
  <si>
    <t>C168</t>
  </si>
  <si>
    <t>C633</t>
  </si>
  <si>
    <t>C136</t>
  </si>
  <si>
    <t>C659</t>
  </si>
  <si>
    <t>C657</t>
  </si>
  <si>
    <t>C132</t>
  </si>
  <si>
    <t>C745</t>
  </si>
  <si>
    <t>C408</t>
  </si>
  <si>
    <t>C306</t>
  </si>
  <si>
    <t>C610</t>
  </si>
  <si>
    <t>C327</t>
  </si>
  <si>
    <t>C587</t>
  </si>
  <si>
    <t>C495</t>
  </si>
  <si>
    <t>C438</t>
  </si>
  <si>
    <t>C216</t>
  </si>
  <si>
    <t>C367</t>
  </si>
  <si>
    <t>C179</t>
  </si>
  <si>
    <t>C133</t>
  </si>
  <si>
    <t>C115</t>
  </si>
  <si>
    <t>C714</t>
  </si>
  <si>
    <t>C291</t>
  </si>
  <si>
    <t>C541</t>
  </si>
  <si>
    <t>C337</t>
  </si>
  <si>
    <t>C766</t>
  </si>
  <si>
    <t>C305</t>
  </si>
  <si>
    <t>C130</t>
  </si>
  <si>
    <t>C370</t>
  </si>
  <si>
    <t>C704</t>
  </si>
  <si>
    <t>C259</t>
  </si>
  <si>
    <t>C618</t>
  </si>
  <si>
    <t>C392</t>
  </si>
  <si>
    <t>C426</t>
  </si>
  <si>
    <t>C101</t>
  </si>
  <si>
    <t>C421</t>
  </si>
  <si>
    <t>C292</t>
  </si>
  <si>
    <t>C183</t>
  </si>
  <si>
    <t>C677</t>
  </si>
  <si>
    <t>C568</t>
  </si>
  <si>
    <t>C260</t>
  </si>
  <si>
    <t>C387</t>
  </si>
  <si>
    <t>C793</t>
  </si>
  <si>
    <t>C283</t>
  </si>
  <si>
    <t>C390</t>
  </si>
  <si>
    <t>C512</t>
  </si>
  <si>
    <t>C498</t>
  </si>
  <si>
    <t>C109</t>
  </si>
  <si>
    <t>C372</t>
  </si>
  <si>
    <t>C518</t>
  </si>
  <si>
    <t>C599</t>
  </si>
  <si>
    <t>C670</t>
  </si>
  <si>
    <t>C626</t>
  </si>
  <si>
    <t>C729</t>
  </si>
  <si>
    <t>C214</t>
  </si>
  <si>
    <t>C437</t>
  </si>
  <si>
    <t>C750</t>
  </si>
  <si>
    <t>C310</t>
  </si>
  <si>
    <t>C655</t>
  </si>
  <si>
    <t>C175</t>
  </si>
  <si>
    <t>C446</t>
  </si>
  <si>
    <t>C774</t>
  </si>
  <si>
    <t>C229</t>
  </si>
  <si>
    <t>C728</t>
  </si>
  <si>
    <t>C323</t>
  </si>
  <si>
    <t>C710</t>
  </si>
  <si>
    <t>C496</t>
  </si>
  <si>
    <t>C525</t>
  </si>
  <si>
    <t>C471</t>
  </si>
  <si>
    <t>C752</t>
  </si>
  <si>
    <t>C530</t>
  </si>
  <si>
    <t>C521</t>
  </si>
  <si>
    <t>C466</t>
  </si>
  <si>
    <t>C448</t>
  </si>
  <si>
    <t>C559</t>
  </si>
  <si>
    <t>C241</t>
  </si>
  <si>
    <t>C165</t>
  </si>
  <si>
    <t>C576</t>
  </si>
  <si>
    <t>C747</t>
  </si>
  <si>
    <t>C513</t>
  </si>
  <si>
    <t>C534</t>
  </si>
  <si>
    <t>C788</t>
  </si>
  <si>
    <t>C389</t>
  </si>
  <si>
    <t>C268</t>
  </si>
  <si>
    <t>C146</t>
  </si>
  <si>
    <t>C488</t>
  </si>
  <si>
    <t>C119</t>
  </si>
  <si>
    <t>C509</t>
  </si>
  <si>
    <t>C228</t>
  </si>
  <si>
    <t>C233</t>
  </si>
  <si>
    <t>C661</t>
  </si>
  <si>
    <t>C423</t>
  </si>
  <si>
    <t>C499</t>
  </si>
  <si>
    <t>C304</t>
  </si>
  <si>
    <t>C730</t>
  </si>
  <si>
    <t>C409</t>
  </si>
  <si>
    <t>C194</t>
  </si>
  <si>
    <t>C417</t>
  </si>
  <si>
    <t>C135</t>
  </si>
  <si>
    <t>C485</t>
  </si>
  <si>
    <t>C449</t>
  </si>
  <si>
    <t>C162</t>
  </si>
  <si>
    <t>C253</t>
  </si>
  <si>
    <t>C142</t>
  </si>
  <si>
    <t>C650</t>
  </si>
  <si>
    <t>C490</t>
  </si>
  <si>
    <t>C563</t>
  </si>
  <si>
    <t>C557</t>
  </si>
  <si>
    <t>C451</t>
  </si>
  <si>
    <t>C270</t>
  </si>
  <si>
    <t>C667</t>
  </si>
  <si>
    <t>C795</t>
  </si>
  <si>
    <t>C362</t>
  </si>
  <si>
    <t>C727</t>
  </si>
  <si>
    <t>C527</t>
  </si>
  <si>
    <t>C376</t>
  </si>
  <si>
    <t>C598</t>
  </si>
  <si>
    <t>C110</t>
  </si>
  <si>
    <t>C213</t>
  </si>
  <si>
    <t>C676</t>
  </si>
  <si>
    <t>C319</t>
  </si>
  <si>
    <t>C212</t>
  </si>
  <si>
    <t>C181</t>
  </si>
  <si>
    <t>C560</t>
  </si>
  <si>
    <t>C444</t>
  </si>
  <si>
    <t>C246</t>
  </si>
  <si>
    <t>C275</t>
  </si>
  <si>
    <t>C141</t>
  </si>
  <si>
    <t>C330</t>
  </si>
  <si>
    <t>C629</t>
  </si>
  <si>
    <t>C435</t>
  </si>
  <si>
    <t>C394</t>
  </si>
  <si>
    <t>C439</t>
  </si>
  <si>
    <t>C222</t>
  </si>
  <si>
    <t>C331</t>
  </si>
  <si>
    <t>C529</t>
  </si>
  <si>
    <t>C351</t>
  </si>
  <si>
    <t>C312</t>
  </si>
  <si>
    <t>C285</t>
  </si>
  <si>
    <t>C289</t>
  </si>
  <si>
    <t>C789</t>
  </si>
  <si>
    <t>C436</t>
  </si>
  <si>
    <t>C742</t>
  </si>
  <si>
    <t>C571</t>
  </si>
  <si>
    <t>C665</t>
  </si>
  <si>
    <t>C684</t>
  </si>
  <si>
    <t>C735</t>
  </si>
  <si>
    <t>C210</t>
  </si>
  <si>
    <t>C301</t>
  </si>
  <si>
    <t>C334</t>
  </si>
  <si>
    <t>C532</t>
  </si>
  <si>
    <t>C768</t>
  </si>
  <si>
    <t>C279</t>
  </si>
  <si>
    <t>C453</t>
  </si>
  <si>
    <t>C411</t>
  </si>
  <si>
    <t>C581</t>
  </si>
  <si>
    <t>C184</t>
  </si>
  <si>
    <t>C116</t>
  </si>
  <si>
    <t>C501</t>
  </si>
  <si>
    <t>C257</t>
  </si>
  <si>
    <t>C691</t>
  </si>
  <si>
    <t>C129</t>
  </si>
  <si>
    <t>C506</t>
  </si>
  <si>
    <t>C723</t>
  </si>
  <si>
    <t>C510</t>
  </si>
  <si>
    <t>C564</t>
  </si>
  <si>
    <t>C195</t>
  </si>
  <si>
    <t>C223</t>
  </si>
  <si>
    <t>C779</t>
  </si>
  <si>
    <t>C685</t>
  </si>
  <si>
    <t>C475</t>
  </si>
  <si>
    <t>C343</t>
  </si>
  <si>
    <t>C594</t>
  </si>
  <si>
    <t>C103</t>
  </si>
  <si>
    <t>C206</t>
  </si>
  <si>
    <t>C737</t>
  </si>
  <si>
    <t>C636</t>
  </si>
  <si>
    <t>C592</t>
  </si>
  <si>
    <t>C224</t>
  </si>
  <si>
    <t>C335</t>
  </si>
  <si>
    <t>C617</t>
  </si>
  <si>
    <t>C596</t>
  </si>
  <si>
    <t>C118</t>
  </si>
  <si>
    <t>C680</t>
  </si>
  <si>
    <t>C540</t>
  </si>
  <si>
    <t>C236</t>
  </si>
  <si>
    <t>C360</t>
  </si>
  <si>
    <t>C758</t>
  </si>
  <si>
    <t>C692</t>
  </si>
  <si>
    <t>C150</t>
  </si>
  <si>
    <t>C792</t>
  </si>
  <si>
    <t>C274</t>
  </si>
  <si>
    <t>C401</t>
  </si>
  <si>
    <t>C732</t>
  </si>
  <si>
    <t>C127</t>
  </si>
  <si>
    <t>C601</t>
  </si>
  <si>
    <t>C297</t>
  </si>
  <si>
    <t>C151</t>
  </si>
  <si>
    <t>C481</t>
  </si>
  <si>
    <t>C784</t>
  </si>
  <si>
    <t>C237</t>
  </si>
  <si>
    <t>C262</t>
  </si>
  <si>
    <t>C338</t>
  </si>
  <si>
    <t>C369</t>
  </si>
  <si>
    <t>C645</t>
  </si>
  <si>
    <t>C764</t>
  </si>
  <si>
    <t>C178</t>
  </si>
  <si>
    <t>C117</t>
  </si>
  <si>
    <t>C783</t>
  </si>
  <si>
    <t>C254</t>
  </si>
  <si>
    <t>C299</t>
  </si>
  <si>
    <t>C157</t>
  </si>
  <si>
    <t>C353</t>
  </si>
  <si>
    <t>C695</t>
  </si>
  <si>
    <t>C458</t>
  </si>
  <si>
    <t>C544</t>
  </si>
  <si>
    <t>C763</t>
  </si>
  <si>
    <t>C217</t>
  </si>
  <si>
    <t>C413</t>
  </si>
  <si>
    <t>C410</t>
  </si>
  <si>
    <t>C177</t>
  </si>
  <si>
    <t>C761</t>
  </si>
  <si>
    <t>C489</t>
  </si>
  <si>
    <t>C345</t>
  </si>
  <si>
    <t>C462</t>
  </si>
  <si>
    <t>C198</t>
  </si>
  <si>
    <t>C642</t>
  </si>
  <si>
    <t>C276</t>
  </si>
  <si>
    <t>C666</t>
  </si>
  <si>
    <t>C757</t>
  </si>
  <si>
    <t>C321</t>
  </si>
  <si>
    <t>C284</t>
  </si>
  <si>
    <t>C472</t>
  </si>
  <si>
    <t>C256</t>
  </si>
  <si>
    <t>C703</t>
  </si>
  <si>
    <t>C418</t>
  </si>
  <si>
    <t>C637</t>
  </si>
  <si>
    <t>C187</t>
  </si>
  <si>
    <t>C709</t>
  </si>
  <si>
    <t>C302</t>
  </si>
  <si>
    <t>C611</t>
  </si>
  <si>
    <t>C593</t>
  </si>
  <si>
    <t>C775</t>
  </si>
  <si>
    <t>C725</t>
  </si>
  <si>
    <t>C648</t>
  </si>
  <si>
    <t>C265</t>
  </si>
  <si>
    <t>C639</t>
  </si>
  <si>
    <t>C121</t>
  </si>
  <si>
    <t>C623</t>
  </si>
  <si>
    <t>C404</t>
  </si>
  <si>
    <t>C698</t>
  </si>
  <si>
    <t>C778</t>
  </si>
  <si>
    <t>C266</t>
  </si>
  <si>
    <t>C269</t>
  </si>
  <si>
    <t>C104</t>
  </si>
  <si>
    <t>C652</t>
  </si>
  <si>
    <t>C751</t>
  </si>
  <si>
    <t>C294</t>
  </si>
  <si>
    <t>C200</t>
  </si>
  <si>
    <t>C148</t>
  </si>
  <si>
    <t>C549</t>
  </si>
  <si>
    <t>C476</t>
  </si>
  <si>
    <t>C258</t>
  </si>
  <si>
    <t>C314</t>
  </si>
  <si>
    <t>C234</t>
  </si>
  <si>
    <t>C303</t>
  </si>
  <si>
    <t>C739</t>
  </si>
  <si>
    <t>C459</t>
  </si>
  <si>
    <t>C355</t>
  </si>
  <si>
    <t>C515</t>
  </si>
  <si>
    <t>C124</t>
  </si>
  <si>
    <t>C523</t>
  </si>
  <si>
    <t>C705</t>
  </si>
  <si>
    <t>C138</t>
  </si>
  <si>
    <t>C800</t>
  </si>
  <si>
    <t>C456</t>
  </si>
  <si>
    <t>C634</t>
  </si>
  <si>
    <t>C500</t>
  </si>
  <si>
    <t>C591</t>
  </si>
  <si>
    <t>C507</t>
  </si>
  <si>
    <t>C356</t>
  </si>
  <si>
    <t>C324</t>
  </si>
  <si>
    <t>C643</t>
  </si>
  <si>
    <t>C686</t>
  </si>
  <si>
    <t>C395</t>
  </si>
  <si>
    <t>C422</t>
  </si>
  <si>
    <t>C169</t>
  </si>
  <si>
    <t>C614</t>
  </si>
  <si>
    <t>C167</t>
  </si>
  <si>
    <t>C281</t>
  </si>
  <si>
    <t>C208</t>
  </si>
  <si>
    <t>C293</t>
  </si>
  <si>
    <t>C484</t>
  </si>
  <si>
    <t>C341</t>
  </si>
  <si>
    <t>C597</t>
  </si>
  <si>
    <t>C682</t>
  </si>
  <si>
    <t>C366</t>
  </si>
  <si>
    <t>C192</t>
  </si>
  <si>
    <t>C664</t>
  </si>
  <si>
    <t>C182</t>
  </si>
  <si>
    <t>C773</t>
  </si>
  <si>
    <t>C674</t>
  </si>
  <si>
    <t>C349</t>
  </si>
  <si>
    <t>C218</t>
  </si>
  <si>
    <t>C694</t>
  </si>
  <si>
    <t>C348</t>
  </si>
  <si>
    <t>C431</t>
  </si>
  <si>
    <t>C794</t>
  </si>
  <si>
    <t>C583</t>
  </si>
  <si>
    <t>C493</t>
  </si>
  <si>
    <t>C425</t>
  </si>
  <si>
    <t>C238</t>
  </si>
  <si>
    <t>C777</t>
  </si>
  <si>
    <t>C696</t>
  </si>
  <si>
    <t>C550</t>
  </si>
  <si>
    <t>C373</t>
  </si>
  <si>
    <t>C271</t>
  </si>
  <si>
    <t>C776</t>
  </si>
  <si>
    <t>C442</t>
  </si>
  <si>
    <t>C562</t>
  </si>
  <si>
    <t>C245</t>
  </si>
  <si>
    <t>C203</t>
  </si>
  <si>
    <t>C463</t>
  </si>
  <si>
    <t>C759</t>
  </si>
  <si>
    <t>C628</t>
  </si>
  <si>
    <t>C461</t>
  </si>
  <si>
    <t>C163</t>
  </si>
  <si>
    <t>C309</t>
  </si>
  <si>
    <t>C336</t>
  </si>
  <si>
    <t>C207</t>
  </si>
  <si>
    <t>C317</t>
  </si>
  <si>
    <t>C640</t>
  </si>
  <si>
    <t>C443</t>
  </si>
  <si>
    <t>C419</t>
  </si>
  <si>
    <t>C382</t>
  </si>
  <si>
    <t>C344</t>
  </si>
  <si>
    <t>C174</t>
  </si>
  <si>
    <t>C760</t>
  </si>
  <si>
    <t>C699</t>
  </si>
  <si>
    <t>C450</t>
  </si>
  <si>
    <t>C313</t>
  </si>
  <si>
    <t>C672</t>
  </si>
  <si>
    <t>C574</t>
  </si>
  <si>
    <t>C196</t>
  </si>
  <si>
    <t>C406</t>
  </si>
  <si>
    <t>C772</t>
  </si>
  <si>
    <t>C454</t>
  </si>
  <si>
    <t>C621</t>
  </si>
  <si>
    <t>C535</t>
  </si>
  <si>
    <t>C721</t>
  </si>
  <si>
    <t>C631</t>
  </si>
  <si>
    <t>C164</t>
  </si>
  <si>
    <t>C738</t>
  </si>
  <si>
    <t>C280</t>
  </si>
  <si>
    <t>C656</t>
  </si>
  <si>
    <t>C494</t>
  </si>
  <si>
    <t>C308</t>
  </si>
  <si>
    <t>C713</t>
  </si>
  <si>
    <t>C647</t>
  </si>
  <si>
    <t>C708</t>
  </si>
  <si>
    <t>C460</t>
  </si>
  <si>
    <t>C624</t>
  </si>
  <si>
    <t>C524</t>
  </si>
  <si>
    <t>Store_Area</t>
  </si>
  <si>
    <t>Staff_Count</t>
  </si>
  <si>
    <t>Customer_Count</t>
  </si>
  <si>
    <t>Store_Location</t>
  </si>
  <si>
    <t>Coles_StoreID</t>
  </si>
  <si>
    <t>Below Target</t>
  </si>
  <si>
    <t>Q2 2023</t>
  </si>
  <si>
    <t>On Target</t>
  </si>
  <si>
    <t>Q1 2023</t>
  </si>
  <si>
    <t>Coles_Forecast</t>
  </si>
  <si>
    <t>Targeted_Quarter</t>
  </si>
  <si>
    <t>Sales_Cost</t>
  </si>
  <si>
    <t>Gross_Sale</t>
  </si>
  <si>
    <t>Expec_Revenue</t>
  </si>
  <si>
    <t>Coles_StoreIDNo</t>
  </si>
  <si>
    <t>State</t>
  </si>
  <si>
    <t>Store_data</t>
  </si>
  <si>
    <t>Profit</t>
  </si>
  <si>
    <t>Profit_Margin</t>
  </si>
  <si>
    <t>Count of Coles_StoreIDNo</t>
  </si>
  <si>
    <t>Column Labels</t>
  </si>
  <si>
    <t>Coles Supermarket Sales Dashboard — Australia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</si>
</sst>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8"/>
      <name val="Aptos Narrow"/>
      <family val="2"/>
      <scheme val="minor"/>
    </font>
    <font>
      <b/>
      <sz val="36"/>
      <color theme="0"/>
      <name val="Aptos Narrow (Body)"/>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64"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vertical="center"/>
    </xf>
    <xf numFmtId="0" fontId="17" fillId="33" borderId="0" xfId="0" applyFont="1" applyFill="1" applyAlignment="1">
      <alignment horizontal="center" vertic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 cent" xfId="1" builtinId="5"/>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Profit</c:v>
                </c:pt>
              </c:strCache>
            </c:strRef>
          </c:tx>
          <c:spPr>
            <a:solidFill>
              <a:schemeClr val="accent1"/>
            </a:solidFill>
            <a:ln>
              <a:noFill/>
            </a:ln>
            <a:effectLst/>
          </c:spPr>
          <c:invertIfNegative val="0"/>
          <c:cat>
            <c:strRef>
              <c:f>'Pivot Table'!$A$4:$A$11</c:f>
              <c:strCache>
                <c:ptCount val="7"/>
                <c:pt idx="0">
                  <c:v>ACT</c:v>
                </c:pt>
                <c:pt idx="1">
                  <c:v>NSW</c:v>
                </c:pt>
                <c:pt idx="2">
                  <c:v>QLD</c:v>
                </c:pt>
                <c:pt idx="3">
                  <c:v>SA</c:v>
                </c:pt>
                <c:pt idx="4">
                  <c:v>TAS</c:v>
                </c:pt>
                <c:pt idx="5">
                  <c:v>VIC</c:v>
                </c:pt>
                <c:pt idx="6">
                  <c:v>WA</c:v>
                </c:pt>
              </c:strCache>
            </c:strRef>
          </c:cat>
          <c:val>
            <c:numRef>
              <c:f>'Pivot Table'!$B$4:$B$11</c:f>
              <c:numCache>
                <c:formatCode>General</c:formatCode>
                <c:ptCount val="7"/>
                <c:pt idx="0">
                  <c:v>102</c:v>
                </c:pt>
                <c:pt idx="1">
                  <c:v>4715</c:v>
                </c:pt>
                <c:pt idx="2">
                  <c:v>1980</c:v>
                </c:pt>
                <c:pt idx="3">
                  <c:v>96</c:v>
                </c:pt>
                <c:pt idx="4">
                  <c:v>71</c:v>
                </c:pt>
                <c:pt idx="5">
                  <c:v>3448</c:v>
                </c:pt>
                <c:pt idx="6">
                  <c:v>674</c:v>
                </c:pt>
              </c:numCache>
            </c:numRef>
          </c:val>
          <c:extLst>
            <c:ext xmlns:c16="http://schemas.microsoft.com/office/drawing/2014/chart" uri="{C3380CC4-5D6E-409C-BE32-E72D297353CC}">
              <c16:uniqueId val="{00000000-DBE6-3748-BF55-8525691C5AF5}"/>
            </c:ext>
          </c:extLst>
        </c:ser>
        <c:ser>
          <c:idx val="1"/>
          <c:order val="1"/>
          <c:tx>
            <c:strRef>
              <c:f>'Pivot Table'!$C$3</c:f>
              <c:strCache>
                <c:ptCount val="1"/>
                <c:pt idx="0">
                  <c:v>Sum of Gross_Sale</c:v>
                </c:pt>
              </c:strCache>
            </c:strRef>
          </c:tx>
          <c:spPr>
            <a:solidFill>
              <a:schemeClr val="accent2"/>
            </a:solidFill>
            <a:ln>
              <a:noFill/>
            </a:ln>
            <a:effectLst/>
          </c:spPr>
          <c:invertIfNegative val="0"/>
          <c:cat>
            <c:strRef>
              <c:f>'Pivot Table'!$A$4:$A$11</c:f>
              <c:strCache>
                <c:ptCount val="7"/>
                <c:pt idx="0">
                  <c:v>ACT</c:v>
                </c:pt>
                <c:pt idx="1">
                  <c:v>NSW</c:v>
                </c:pt>
                <c:pt idx="2">
                  <c:v>QLD</c:v>
                </c:pt>
                <c:pt idx="3">
                  <c:v>SA</c:v>
                </c:pt>
                <c:pt idx="4">
                  <c:v>TAS</c:v>
                </c:pt>
                <c:pt idx="5">
                  <c:v>VIC</c:v>
                </c:pt>
                <c:pt idx="6">
                  <c:v>WA</c:v>
                </c:pt>
              </c:strCache>
            </c:strRef>
          </c:cat>
          <c:val>
            <c:numRef>
              <c:f>'Pivot Table'!$C$4:$C$11</c:f>
              <c:numCache>
                <c:formatCode>General</c:formatCode>
                <c:ptCount val="7"/>
                <c:pt idx="0">
                  <c:v>115</c:v>
                </c:pt>
                <c:pt idx="1">
                  <c:v>5972</c:v>
                </c:pt>
                <c:pt idx="2">
                  <c:v>2363</c:v>
                </c:pt>
                <c:pt idx="3">
                  <c:v>114</c:v>
                </c:pt>
                <c:pt idx="4">
                  <c:v>78</c:v>
                </c:pt>
                <c:pt idx="5">
                  <c:v>4315</c:v>
                </c:pt>
                <c:pt idx="6">
                  <c:v>793</c:v>
                </c:pt>
              </c:numCache>
            </c:numRef>
          </c:val>
          <c:extLst>
            <c:ext xmlns:c16="http://schemas.microsoft.com/office/drawing/2014/chart" uri="{C3380CC4-5D6E-409C-BE32-E72D297353CC}">
              <c16:uniqueId val="{00000001-DBE6-3748-BF55-8525691C5AF5}"/>
            </c:ext>
          </c:extLst>
        </c:ser>
        <c:dLbls>
          <c:showLegendKey val="0"/>
          <c:showVal val="0"/>
          <c:showCatName val="0"/>
          <c:showSerName val="0"/>
          <c:showPercent val="0"/>
          <c:showBubbleSize val="0"/>
        </c:dLbls>
        <c:gapWidth val="219"/>
        <c:overlap val="-27"/>
        <c:axId val="146566079"/>
        <c:axId val="2067826432"/>
      </c:barChart>
      <c:catAx>
        <c:axId val="14656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6432"/>
        <c:crosses val="autoZero"/>
        <c:auto val="1"/>
        <c:lblAlgn val="ctr"/>
        <c:lblOffset val="100"/>
        <c:noMultiLvlLbl val="0"/>
      </c:catAx>
      <c:valAx>
        <c:axId val="2067826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65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On Target Vs Below</a:t>
            </a:r>
            <a:r>
              <a:rPr lang="en-GB" baseline="0"/>
              <a:t> Target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Sum of Gross_Sale</c:v>
                </c:pt>
              </c:strCache>
            </c:strRef>
          </c:tx>
          <c:spPr>
            <a:solidFill>
              <a:schemeClr val="accent1"/>
            </a:solidFill>
            <a:ln>
              <a:noFill/>
            </a:ln>
            <a:effectLst/>
          </c:spPr>
          <c:invertIfNegative val="0"/>
          <c:cat>
            <c:strRef>
              <c:f>'Pivot Table'!$A$29:$A$30</c:f>
              <c:strCache>
                <c:ptCount val="1"/>
                <c:pt idx="0">
                  <c:v>On Target</c:v>
                </c:pt>
              </c:strCache>
            </c:strRef>
          </c:cat>
          <c:val>
            <c:numRef>
              <c:f>'Pivot Table'!$B$29:$B$30</c:f>
              <c:numCache>
                <c:formatCode>General</c:formatCode>
                <c:ptCount val="1"/>
                <c:pt idx="0">
                  <c:v>13750</c:v>
                </c:pt>
              </c:numCache>
            </c:numRef>
          </c:val>
          <c:extLst>
            <c:ext xmlns:c16="http://schemas.microsoft.com/office/drawing/2014/chart" uri="{C3380CC4-5D6E-409C-BE32-E72D297353CC}">
              <c16:uniqueId val="{00000000-D144-B54A-AA9B-08382FF41199}"/>
            </c:ext>
          </c:extLst>
        </c:ser>
        <c:ser>
          <c:idx val="1"/>
          <c:order val="1"/>
          <c:tx>
            <c:strRef>
              <c:f>'Pivot Table'!$C$28</c:f>
              <c:strCache>
                <c:ptCount val="1"/>
                <c:pt idx="0">
                  <c:v>Count of Coles_StoreIDNo</c:v>
                </c:pt>
              </c:strCache>
            </c:strRef>
          </c:tx>
          <c:spPr>
            <a:solidFill>
              <a:schemeClr val="accent2"/>
            </a:solidFill>
            <a:ln>
              <a:noFill/>
            </a:ln>
            <a:effectLst/>
          </c:spPr>
          <c:invertIfNegative val="0"/>
          <c:cat>
            <c:strRef>
              <c:f>'Pivot Table'!$A$29:$A$30</c:f>
              <c:strCache>
                <c:ptCount val="1"/>
                <c:pt idx="0">
                  <c:v>On Target</c:v>
                </c:pt>
              </c:strCache>
            </c:strRef>
          </c:cat>
          <c:val>
            <c:numRef>
              <c:f>'Pivot Table'!$C$29:$C$30</c:f>
              <c:numCache>
                <c:formatCode>General</c:formatCode>
                <c:ptCount val="1"/>
                <c:pt idx="0">
                  <c:v>277</c:v>
                </c:pt>
              </c:numCache>
            </c:numRef>
          </c:val>
          <c:extLst>
            <c:ext xmlns:c16="http://schemas.microsoft.com/office/drawing/2014/chart" uri="{C3380CC4-5D6E-409C-BE32-E72D297353CC}">
              <c16:uniqueId val="{00000001-D144-B54A-AA9B-08382FF41199}"/>
            </c:ext>
          </c:extLst>
        </c:ser>
        <c:dLbls>
          <c:showLegendKey val="0"/>
          <c:showVal val="0"/>
          <c:showCatName val="0"/>
          <c:showSerName val="0"/>
          <c:showPercent val="0"/>
          <c:showBubbleSize val="0"/>
        </c:dLbls>
        <c:gapWidth val="219"/>
        <c:overlap val="-27"/>
        <c:axId val="2036198336"/>
        <c:axId val="2035297216"/>
      </c:barChart>
      <c:catAx>
        <c:axId val="203619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Coles</a:t>
                </a:r>
                <a:r>
                  <a:rPr lang="en-GB" sz="1200" baseline="0"/>
                  <a:t> Forecast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297216"/>
        <c:crosses val="autoZero"/>
        <c:auto val="1"/>
        <c:lblAlgn val="ctr"/>
        <c:lblOffset val="100"/>
        <c:noMultiLvlLbl val="0"/>
      </c:catAx>
      <c:valAx>
        <c:axId val="203529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a:t>
            </a:r>
            <a:r>
              <a:rPr lang="en-GB" baseline="0"/>
              <a:t>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Below Target</c:v>
                </c:pt>
              </c:strCache>
            </c:strRef>
          </c:tx>
          <c:spPr>
            <a:solidFill>
              <a:schemeClr val="accent1"/>
            </a:solidFill>
            <a:ln>
              <a:noFill/>
            </a:ln>
            <a:effectLst/>
          </c:spPr>
          <c:invertIfNegative val="0"/>
          <c:cat>
            <c:strRef>
              <c:f>'Pivot Table'!$A$51:$A$53</c:f>
              <c:strCache>
                <c:ptCount val="2"/>
                <c:pt idx="0">
                  <c:v>Q1 2023</c:v>
                </c:pt>
                <c:pt idx="1">
                  <c:v>Q2 2023</c:v>
                </c:pt>
              </c:strCache>
            </c:strRef>
          </c:cat>
          <c:val>
            <c:numRef>
              <c:f>'Pivot Table'!$B$51:$B$53</c:f>
              <c:numCache>
                <c:formatCode>General</c:formatCode>
                <c:ptCount val="2"/>
                <c:pt idx="0">
                  <c:v>6043</c:v>
                </c:pt>
                <c:pt idx="1">
                  <c:v>6291</c:v>
                </c:pt>
              </c:numCache>
            </c:numRef>
          </c:val>
          <c:extLst>
            <c:ext xmlns:c16="http://schemas.microsoft.com/office/drawing/2014/chart" uri="{C3380CC4-5D6E-409C-BE32-E72D297353CC}">
              <c16:uniqueId val="{00000000-2A96-ED4B-A281-CDE07526DA3C}"/>
            </c:ext>
          </c:extLst>
        </c:ser>
        <c:ser>
          <c:idx val="1"/>
          <c:order val="1"/>
          <c:tx>
            <c:strRef>
              <c:f>'Pivot Table'!$C$49:$C$50</c:f>
              <c:strCache>
                <c:ptCount val="1"/>
                <c:pt idx="0">
                  <c:v>On Target</c:v>
                </c:pt>
              </c:strCache>
            </c:strRef>
          </c:tx>
          <c:spPr>
            <a:solidFill>
              <a:schemeClr val="accent2"/>
            </a:solidFill>
            <a:ln>
              <a:noFill/>
            </a:ln>
            <a:effectLst/>
          </c:spPr>
          <c:invertIfNegative val="0"/>
          <c:cat>
            <c:strRef>
              <c:f>'Pivot Table'!$A$51:$A$53</c:f>
              <c:strCache>
                <c:ptCount val="2"/>
                <c:pt idx="0">
                  <c:v>Q1 2023</c:v>
                </c:pt>
                <c:pt idx="1">
                  <c:v>Q2 2023</c:v>
                </c:pt>
              </c:strCache>
            </c:strRef>
          </c:cat>
          <c:val>
            <c:numRef>
              <c:f>'Pivot Table'!$C$51:$C$53</c:f>
              <c:numCache>
                <c:formatCode>General</c:formatCode>
                <c:ptCount val="2"/>
                <c:pt idx="0">
                  <c:v>7091</c:v>
                </c:pt>
                <c:pt idx="1">
                  <c:v>6659</c:v>
                </c:pt>
              </c:numCache>
            </c:numRef>
          </c:val>
          <c:extLst>
            <c:ext xmlns:c16="http://schemas.microsoft.com/office/drawing/2014/chart" uri="{C3380CC4-5D6E-409C-BE32-E72D297353CC}">
              <c16:uniqueId val="{00000004-2A96-ED4B-A281-CDE07526DA3C}"/>
            </c:ext>
          </c:extLst>
        </c:ser>
        <c:dLbls>
          <c:showLegendKey val="0"/>
          <c:showVal val="0"/>
          <c:showCatName val="0"/>
          <c:showSerName val="0"/>
          <c:showPercent val="0"/>
          <c:showBubbleSize val="0"/>
        </c:dLbls>
        <c:gapWidth val="219"/>
        <c:overlap val="-27"/>
        <c:axId val="2036905984"/>
        <c:axId val="1884559488"/>
      </c:barChart>
      <c:catAx>
        <c:axId val="203690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Quarter</a:t>
                </a:r>
                <a:r>
                  <a:rPr lang="en-GB" sz="1200" baseline="0"/>
                  <a:t> Year 2023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559488"/>
        <c:crosses val="autoZero"/>
        <c:auto val="1"/>
        <c:lblAlgn val="ctr"/>
        <c:lblOffset val="100"/>
        <c:noMultiLvlLbl val="0"/>
      </c:catAx>
      <c:valAx>
        <c:axId val="188455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0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Sum of Profit</c:v>
                </c:pt>
              </c:strCache>
            </c:strRef>
          </c:tx>
          <c:spPr>
            <a:solidFill>
              <a:schemeClr val="accent1"/>
            </a:solidFill>
            <a:ln>
              <a:noFill/>
            </a:ln>
            <a:effectLst/>
          </c:spPr>
          <c:invertIfNegative val="0"/>
          <c:cat>
            <c:strRef>
              <c:f>'Pivot Table'!$A$4:$A$11</c:f>
              <c:strCache>
                <c:ptCount val="7"/>
                <c:pt idx="0">
                  <c:v>ACT</c:v>
                </c:pt>
                <c:pt idx="1">
                  <c:v>NSW</c:v>
                </c:pt>
                <c:pt idx="2">
                  <c:v>QLD</c:v>
                </c:pt>
                <c:pt idx="3">
                  <c:v>SA</c:v>
                </c:pt>
                <c:pt idx="4">
                  <c:v>TAS</c:v>
                </c:pt>
                <c:pt idx="5">
                  <c:v>VIC</c:v>
                </c:pt>
                <c:pt idx="6">
                  <c:v>WA</c:v>
                </c:pt>
              </c:strCache>
            </c:strRef>
          </c:cat>
          <c:val>
            <c:numRef>
              <c:f>'Pivot Table'!$B$4:$B$11</c:f>
              <c:numCache>
                <c:formatCode>General</c:formatCode>
                <c:ptCount val="7"/>
                <c:pt idx="0">
                  <c:v>102</c:v>
                </c:pt>
                <c:pt idx="1">
                  <c:v>4715</c:v>
                </c:pt>
                <c:pt idx="2">
                  <c:v>1980</c:v>
                </c:pt>
                <c:pt idx="3">
                  <c:v>96</c:v>
                </c:pt>
                <c:pt idx="4">
                  <c:v>71</c:v>
                </c:pt>
                <c:pt idx="5">
                  <c:v>3448</c:v>
                </c:pt>
                <c:pt idx="6">
                  <c:v>674</c:v>
                </c:pt>
              </c:numCache>
            </c:numRef>
          </c:val>
          <c:extLst>
            <c:ext xmlns:c16="http://schemas.microsoft.com/office/drawing/2014/chart" uri="{C3380CC4-5D6E-409C-BE32-E72D297353CC}">
              <c16:uniqueId val="{00000000-5A37-4F45-B7C2-17D3A61D5117}"/>
            </c:ext>
          </c:extLst>
        </c:ser>
        <c:ser>
          <c:idx val="1"/>
          <c:order val="1"/>
          <c:tx>
            <c:strRef>
              <c:f>'Pivot Table'!$C$3</c:f>
              <c:strCache>
                <c:ptCount val="1"/>
                <c:pt idx="0">
                  <c:v>Sum of Gross_Sale</c:v>
                </c:pt>
              </c:strCache>
            </c:strRef>
          </c:tx>
          <c:spPr>
            <a:solidFill>
              <a:schemeClr val="accent2"/>
            </a:solidFill>
            <a:ln>
              <a:noFill/>
            </a:ln>
            <a:effectLst/>
          </c:spPr>
          <c:invertIfNegative val="0"/>
          <c:cat>
            <c:strRef>
              <c:f>'Pivot Table'!$A$4:$A$11</c:f>
              <c:strCache>
                <c:ptCount val="7"/>
                <c:pt idx="0">
                  <c:v>ACT</c:v>
                </c:pt>
                <c:pt idx="1">
                  <c:v>NSW</c:v>
                </c:pt>
                <c:pt idx="2">
                  <c:v>QLD</c:v>
                </c:pt>
                <c:pt idx="3">
                  <c:v>SA</c:v>
                </c:pt>
                <c:pt idx="4">
                  <c:v>TAS</c:v>
                </c:pt>
                <c:pt idx="5">
                  <c:v>VIC</c:v>
                </c:pt>
                <c:pt idx="6">
                  <c:v>WA</c:v>
                </c:pt>
              </c:strCache>
            </c:strRef>
          </c:cat>
          <c:val>
            <c:numRef>
              <c:f>'Pivot Table'!$C$4:$C$11</c:f>
              <c:numCache>
                <c:formatCode>General</c:formatCode>
                <c:ptCount val="7"/>
                <c:pt idx="0">
                  <c:v>115</c:v>
                </c:pt>
                <c:pt idx="1">
                  <c:v>5972</c:v>
                </c:pt>
                <c:pt idx="2">
                  <c:v>2363</c:v>
                </c:pt>
                <c:pt idx="3">
                  <c:v>114</c:v>
                </c:pt>
                <c:pt idx="4">
                  <c:v>78</c:v>
                </c:pt>
                <c:pt idx="5">
                  <c:v>4315</c:v>
                </c:pt>
                <c:pt idx="6">
                  <c:v>793</c:v>
                </c:pt>
              </c:numCache>
            </c:numRef>
          </c:val>
          <c:extLst>
            <c:ext xmlns:c16="http://schemas.microsoft.com/office/drawing/2014/chart" uri="{C3380CC4-5D6E-409C-BE32-E72D297353CC}">
              <c16:uniqueId val="{00000001-5A37-4F45-B7C2-17D3A61D5117}"/>
            </c:ext>
          </c:extLst>
        </c:ser>
        <c:dLbls>
          <c:showLegendKey val="0"/>
          <c:showVal val="0"/>
          <c:showCatName val="0"/>
          <c:showSerName val="0"/>
          <c:showPercent val="0"/>
          <c:showBubbleSize val="0"/>
        </c:dLbls>
        <c:gapWidth val="219"/>
        <c:overlap val="-27"/>
        <c:axId val="146566079"/>
        <c:axId val="2067826432"/>
      </c:barChart>
      <c:catAx>
        <c:axId val="1465660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State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7826432"/>
        <c:crosses val="autoZero"/>
        <c:auto val="1"/>
        <c:lblAlgn val="ctr"/>
        <c:lblOffset val="100"/>
        <c:noMultiLvlLbl val="0"/>
      </c:catAx>
      <c:valAx>
        <c:axId val="20678264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46566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On Target Vs Below</a:t>
            </a:r>
            <a:r>
              <a:rPr lang="en-GB" baseline="0"/>
              <a:t> Target </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Table'!$B$28</c:f>
              <c:strCache>
                <c:ptCount val="1"/>
                <c:pt idx="0">
                  <c:v>Sum of Gross_Sale</c:v>
                </c:pt>
              </c:strCache>
            </c:strRef>
          </c:tx>
          <c:spPr>
            <a:solidFill>
              <a:schemeClr val="accent1"/>
            </a:solidFill>
            <a:ln>
              <a:noFill/>
            </a:ln>
            <a:effectLst/>
          </c:spPr>
          <c:invertIfNegative val="0"/>
          <c:cat>
            <c:strRef>
              <c:f>'Pivot Table'!$A$29:$A$30</c:f>
              <c:strCache>
                <c:ptCount val="1"/>
                <c:pt idx="0">
                  <c:v>On Target</c:v>
                </c:pt>
              </c:strCache>
            </c:strRef>
          </c:cat>
          <c:val>
            <c:numRef>
              <c:f>'Pivot Table'!$B$29:$B$30</c:f>
              <c:numCache>
                <c:formatCode>General</c:formatCode>
                <c:ptCount val="1"/>
                <c:pt idx="0">
                  <c:v>13750</c:v>
                </c:pt>
              </c:numCache>
            </c:numRef>
          </c:val>
          <c:extLst>
            <c:ext xmlns:c16="http://schemas.microsoft.com/office/drawing/2014/chart" uri="{C3380CC4-5D6E-409C-BE32-E72D297353CC}">
              <c16:uniqueId val="{00000000-4A86-2F46-9EC9-F2B57D8EB4AC}"/>
            </c:ext>
          </c:extLst>
        </c:ser>
        <c:ser>
          <c:idx val="1"/>
          <c:order val="1"/>
          <c:tx>
            <c:strRef>
              <c:f>'Pivot Table'!$C$28</c:f>
              <c:strCache>
                <c:ptCount val="1"/>
                <c:pt idx="0">
                  <c:v>Count of Coles_StoreIDNo</c:v>
                </c:pt>
              </c:strCache>
            </c:strRef>
          </c:tx>
          <c:spPr>
            <a:solidFill>
              <a:schemeClr val="accent2"/>
            </a:solidFill>
            <a:ln>
              <a:noFill/>
            </a:ln>
            <a:effectLst/>
          </c:spPr>
          <c:invertIfNegative val="0"/>
          <c:cat>
            <c:strRef>
              <c:f>'Pivot Table'!$A$29:$A$30</c:f>
              <c:strCache>
                <c:ptCount val="1"/>
                <c:pt idx="0">
                  <c:v>On Target</c:v>
                </c:pt>
              </c:strCache>
            </c:strRef>
          </c:cat>
          <c:val>
            <c:numRef>
              <c:f>'Pivot Table'!$C$29:$C$30</c:f>
              <c:numCache>
                <c:formatCode>General</c:formatCode>
                <c:ptCount val="1"/>
                <c:pt idx="0">
                  <c:v>277</c:v>
                </c:pt>
              </c:numCache>
            </c:numRef>
          </c:val>
          <c:extLst>
            <c:ext xmlns:c16="http://schemas.microsoft.com/office/drawing/2014/chart" uri="{C3380CC4-5D6E-409C-BE32-E72D297353CC}">
              <c16:uniqueId val="{00000001-4A86-2F46-9EC9-F2B57D8EB4AC}"/>
            </c:ext>
          </c:extLst>
        </c:ser>
        <c:dLbls>
          <c:showLegendKey val="0"/>
          <c:showVal val="0"/>
          <c:showCatName val="0"/>
          <c:showSerName val="0"/>
          <c:showPercent val="0"/>
          <c:showBubbleSize val="0"/>
        </c:dLbls>
        <c:gapWidth val="219"/>
        <c:overlap val="-27"/>
        <c:axId val="2036198336"/>
        <c:axId val="2035297216"/>
      </c:barChart>
      <c:catAx>
        <c:axId val="20361983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Coles</a:t>
                </a:r>
                <a:r>
                  <a:rPr lang="en-GB" sz="1200" baseline="0"/>
                  <a:t> Forecast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5297216"/>
        <c:crosses val="autoZero"/>
        <c:auto val="1"/>
        <c:lblAlgn val="ctr"/>
        <c:lblOffset val="100"/>
        <c:noMultiLvlLbl val="0"/>
      </c:catAx>
      <c:valAx>
        <c:axId val="203529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198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Revenue by</a:t>
            </a:r>
            <a:r>
              <a:rPr lang="en-GB" baseline="0"/>
              <a:t> Quarter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Table'!$B$49:$B$50</c:f>
              <c:strCache>
                <c:ptCount val="1"/>
                <c:pt idx="0">
                  <c:v>Below Target</c:v>
                </c:pt>
              </c:strCache>
            </c:strRef>
          </c:tx>
          <c:spPr>
            <a:solidFill>
              <a:schemeClr val="accent1"/>
            </a:solidFill>
            <a:ln>
              <a:noFill/>
            </a:ln>
            <a:effectLst/>
          </c:spPr>
          <c:invertIfNegative val="0"/>
          <c:cat>
            <c:strRef>
              <c:f>'Pivot Table'!$A$51:$A$53</c:f>
              <c:strCache>
                <c:ptCount val="2"/>
                <c:pt idx="0">
                  <c:v>Q1 2023</c:v>
                </c:pt>
                <c:pt idx="1">
                  <c:v>Q2 2023</c:v>
                </c:pt>
              </c:strCache>
            </c:strRef>
          </c:cat>
          <c:val>
            <c:numRef>
              <c:f>'Pivot Table'!$B$51:$B$53</c:f>
              <c:numCache>
                <c:formatCode>General</c:formatCode>
                <c:ptCount val="2"/>
                <c:pt idx="0">
                  <c:v>6043</c:v>
                </c:pt>
                <c:pt idx="1">
                  <c:v>6291</c:v>
                </c:pt>
              </c:numCache>
            </c:numRef>
          </c:val>
          <c:extLst>
            <c:ext xmlns:c16="http://schemas.microsoft.com/office/drawing/2014/chart" uri="{C3380CC4-5D6E-409C-BE32-E72D297353CC}">
              <c16:uniqueId val="{00000000-75BE-384F-A16D-88E22DB5E407}"/>
            </c:ext>
          </c:extLst>
        </c:ser>
        <c:ser>
          <c:idx val="1"/>
          <c:order val="1"/>
          <c:tx>
            <c:strRef>
              <c:f>'Pivot Table'!$C$49:$C$50</c:f>
              <c:strCache>
                <c:ptCount val="1"/>
                <c:pt idx="0">
                  <c:v>On Target</c:v>
                </c:pt>
              </c:strCache>
            </c:strRef>
          </c:tx>
          <c:spPr>
            <a:solidFill>
              <a:schemeClr val="accent2"/>
            </a:solidFill>
            <a:ln>
              <a:noFill/>
            </a:ln>
            <a:effectLst/>
          </c:spPr>
          <c:invertIfNegative val="0"/>
          <c:cat>
            <c:strRef>
              <c:f>'Pivot Table'!$A$51:$A$53</c:f>
              <c:strCache>
                <c:ptCount val="2"/>
                <c:pt idx="0">
                  <c:v>Q1 2023</c:v>
                </c:pt>
                <c:pt idx="1">
                  <c:v>Q2 2023</c:v>
                </c:pt>
              </c:strCache>
            </c:strRef>
          </c:cat>
          <c:val>
            <c:numRef>
              <c:f>'Pivot Table'!$C$51:$C$53</c:f>
              <c:numCache>
                <c:formatCode>General</c:formatCode>
                <c:ptCount val="2"/>
                <c:pt idx="0">
                  <c:v>7091</c:v>
                </c:pt>
                <c:pt idx="1">
                  <c:v>6659</c:v>
                </c:pt>
              </c:numCache>
            </c:numRef>
          </c:val>
          <c:extLst>
            <c:ext xmlns:c16="http://schemas.microsoft.com/office/drawing/2014/chart" uri="{C3380CC4-5D6E-409C-BE32-E72D297353CC}">
              <c16:uniqueId val="{00000004-75BE-384F-A16D-88E22DB5E407}"/>
            </c:ext>
          </c:extLst>
        </c:ser>
        <c:dLbls>
          <c:showLegendKey val="0"/>
          <c:showVal val="0"/>
          <c:showCatName val="0"/>
          <c:showSerName val="0"/>
          <c:showPercent val="0"/>
          <c:showBubbleSize val="0"/>
        </c:dLbls>
        <c:gapWidth val="219"/>
        <c:overlap val="-27"/>
        <c:axId val="2036905984"/>
        <c:axId val="1884559488"/>
      </c:barChart>
      <c:catAx>
        <c:axId val="20369059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200"/>
                  <a:t>Quarter</a:t>
                </a:r>
                <a:r>
                  <a:rPr lang="en-GB" sz="1200" baseline="0"/>
                  <a:t> Year 2023</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559488"/>
        <c:crosses val="autoZero"/>
        <c:auto val="1"/>
        <c:lblAlgn val="ctr"/>
        <c:lblOffset val="100"/>
        <c:noMultiLvlLbl val="0"/>
      </c:catAx>
      <c:valAx>
        <c:axId val="18845594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059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641350</xdr:colOff>
      <xdr:row>1</xdr:row>
      <xdr:rowOff>139700</xdr:rowOff>
    </xdr:from>
    <xdr:to>
      <xdr:col>11</xdr:col>
      <xdr:colOff>0</xdr:colOff>
      <xdr:row>19</xdr:row>
      <xdr:rowOff>190500</xdr:rowOff>
    </xdr:to>
    <xdr:graphicFrame macro="">
      <xdr:nvGraphicFramePr>
        <xdr:cNvPr id="2" name="Chart 1">
          <a:extLst>
            <a:ext uri="{FF2B5EF4-FFF2-40B4-BE49-F238E27FC236}">
              <a16:creationId xmlns:a16="http://schemas.microsoft.com/office/drawing/2014/main" id="{6D6892F4-F8EA-8406-F00C-2F50FBF2AE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711200</xdr:colOff>
      <xdr:row>24</xdr:row>
      <xdr:rowOff>0</xdr:rowOff>
    </xdr:from>
    <xdr:to>
      <xdr:col>10</xdr:col>
      <xdr:colOff>342900</xdr:colOff>
      <xdr:row>40</xdr:row>
      <xdr:rowOff>12700</xdr:rowOff>
    </xdr:to>
    <xdr:graphicFrame macro="">
      <xdr:nvGraphicFramePr>
        <xdr:cNvPr id="3" name="Chart 2">
          <a:extLst>
            <a:ext uri="{FF2B5EF4-FFF2-40B4-BE49-F238E27FC236}">
              <a16:creationId xmlns:a16="http://schemas.microsoft.com/office/drawing/2014/main" id="{C3648B00-5345-09C0-423A-52231A3419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355600</xdr:colOff>
      <xdr:row>54</xdr:row>
      <xdr:rowOff>165100</xdr:rowOff>
    </xdr:from>
    <xdr:to>
      <xdr:col>6</xdr:col>
      <xdr:colOff>12700</xdr:colOff>
      <xdr:row>71</xdr:row>
      <xdr:rowOff>63500</xdr:rowOff>
    </xdr:to>
    <xdr:graphicFrame macro="">
      <xdr:nvGraphicFramePr>
        <xdr:cNvPr id="4" name="Chart 3">
          <a:extLst>
            <a:ext uri="{FF2B5EF4-FFF2-40B4-BE49-F238E27FC236}">
              <a16:creationId xmlns:a16="http://schemas.microsoft.com/office/drawing/2014/main" id="{51766CC1-CFBD-AD5E-4E17-294F890196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501073</xdr:colOff>
      <xdr:row>5</xdr:row>
      <xdr:rowOff>102113</xdr:rowOff>
    </xdr:from>
    <xdr:to>
      <xdr:col>10</xdr:col>
      <xdr:colOff>7440</xdr:colOff>
      <xdr:row>23</xdr:row>
      <xdr:rowOff>152913</xdr:rowOff>
    </xdr:to>
    <xdr:graphicFrame macro="">
      <xdr:nvGraphicFramePr>
        <xdr:cNvPr id="2" name="Chart 1">
          <a:extLst>
            <a:ext uri="{FF2B5EF4-FFF2-40B4-BE49-F238E27FC236}">
              <a16:creationId xmlns:a16="http://schemas.microsoft.com/office/drawing/2014/main" id="{F52AA3C1-9F3D-3743-8E85-A6B0DB27DC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284338</xdr:colOff>
      <xdr:row>24</xdr:row>
      <xdr:rowOff>62986</xdr:rowOff>
    </xdr:from>
    <xdr:to>
      <xdr:col>3</xdr:col>
      <xdr:colOff>474647</xdr:colOff>
      <xdr:row>41</xdr:row>
      <xdr:rowOff>126486</xdr:rowOff>
    </xdr:to>
    <xdr:graphicFrame macro="">
      <xdr:nvGraphicFramePr>
        <xdr:cNvPr id="3" name="Chart 2">
          <a:extLst>
            <a:ext uri="{FF2B5EF4-FFF2-40B4-BE49-F238E27FC236}">
              <a16:creationId xmlns:a16="http://schemas.microsoft.com/office/drawing/2014/main" id="{0ACE50DC-3010-9547-BD3B-012593EDB1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570858</xdr:colOff>
      <xdr:row>24</xdr:row>
      <xdr:rowOff>89029</xdr:rowOff>
    </xdr:from>
    <xdr:to>
      <xdr:col>10</xdr:col>
      <xdr:colOff>25656</xdr:colOff>
      <xdr:row>41</xdr:row>
      <xdr:rowOff>192424</xdr:rowOff>
    </xdr:to>
    <xdr:graphicFrame macro="">
      <xdr:nvGraphicFramePr>
        <xdr:cNvPr id="4" name="Chart 3">
          <a:extLst>
            <a:ext uri="{FF2B5EF4-FFF2-40B4-BE49-F238E27FC236}">
              <a16:creationId xmlns:a16="http://schemas.microsoft.com/office/drawing/2014/main" id="{64C5C431-2C57-A944-AF0E-DB137DAF4F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78124</xdr:colOff>
      <xdr:row>6</xdr:row>
      <xdr:rowOff>82100</xdr:rowOff>
    </xdr:from>
    <xdr:to>
      <xdr:col>0</xdr:col>
      <xdr:colOff>2976162</xdr:colOff>
      <xdr:row>19</xdr:row>
      <xdr:rowOff>33189</xdr:rowOff>
    </xdr:to>
    <mc:AlternateContent xmlns:mc="http://schemas.openxmlformats.org/markup-compatibility/2006">
      <mc:Choice xmlns:a14="http://schemas.microsoft.com/office/drawing/2010/main" Requires="a14">
        <xdr:graphicFrame macro="">
          <xdr:nvGraphicFramePr>
            <xdr:cNvPr id="9" name="State">
              <a:extLst>
                <a:ext uri="{FF2B5EF4-FFF2-40B4-BE49-F238E27FC236}">
                  <a16:creationId xmlns:a16="http://schemas.microsoft.com/office/drawing/2014/main" id="{95BF290C-24AE-4C6D-9DA9-479C0052271F}"/>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78124" y="1313615"/>
              <a:ext cx="2898038"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3150756</xdr:colOff>
      <xdr:row>6</xdr:row>
      <xdr:rowOff>94930</xdr:rowOff>
    </xdr:from>
    <xdr:to>
      <xdr:col>2</xdr:col>
      <xdr:colOff>707738</xdr:colOff>
      <xdr:row>10</xdr:row>
      <xdr:rowOff>153940</xdr:rowOff>
    </xdr:to>
    <mc:AlternateContent xmlns:mc="http://schemas.openxmlformats.org/markup-compatibility/2006">
      <mc:Choice xmlns:a14="http://schemas.microsoft.com/office/drawing/2010/main" Requires="a14">
        <xdr:graphicFrame macro="">
          <xdr:nvGraphicFramePr>
            <xdr:cNvPr id="10" name="Coles_Forecast">
              <a:extLst>
                <a:ext uri="{FF2B5EF4-FFF2-40B4-BE49-F238E27FC236}">
                  <a16:creationId xmlns:a16="http://schemas.microsoft.com/office/drawing/2014/main" id="{050E2102-D288-F0D5-55B3-AEB92BB786EA}"/>
                </a:ext>
              </a:extLst>
            </xdr:cNvPr>
            <xdr:cNvGraphicFramePr/>
          </xdr:nvGraphicFramePr>
          <xdr:xfrm>
            <a:off x="0" y="0"/>
            <a:ext cx="0" cy="0"/>
          </xdr:xfrm>
          <a:graphic>
            <a:graphicData uri="http://schemas.microsoft.com/office/drawing/2010/slicer">
              <sle:slicer xmlns:sle="http://schemas.microsoft.com/office/drawing/2010/slicer" name="Coles_Forecast"/>
            </a:graphicData>
          </a:graphic>
        </xdr:graphicFrame>
      </mc:Choice>
      <mc:Fallback>
        <xdr:sp macro="" textlink="">
          <xdr:nvSpPr>
            <xdr:cNvPr id="0" name=""/>
            <xdr:cNvSpPr>
              <a:spLocks noTextEdit="1"/>
            </xdr:cNvSpPr>
          </xdr:nvSpPr>
          <xdr:spPr>
            <a:xfrm>
              <a:off x="3150756" y="1326445"/>
              <a:ext cx="1828800" cy="8800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3163583</xdr:colOff>
      <xdr:row>11</xdr:row>
      <xdr:rowOff>82100</xdr:rowOff>
    </xdr:from>
    <xdr:to>
      <xdr:col>2</xdr:col>
      <xdr:colOff>720565</xdr:colOff>
      <xdr:row>15</xdr:row>
      <xdr:rowOff>141111</xdr:rowOff>
    </xdr:to>
    <mc:AlternateContent xmlns:mc="http://schemas.openxmlformats.org/markup-compatibility/2006">
      <mc:Choice xmlns:a14="http://schemas.microsoft.com/office/drawing/2010/main" Requires="a14">
        <xdr:graphicFrame macro="">
          <xdr:nvGraphicFramePr>
            <xdr:cNvPr id="11" name="Targeted_Quarter">
              <a:extLst>
                <a:ext uri="{FF2B5EF4-FFF2-40B4-BE49-F238E27FC236}">
                  <a16:creationId xmlns:a16="http://schemas.microsoft.com/office/drawing/2014/main" id="{63BBA120-3E41-86D5-6B1D-EA911756DABB}"/>
                </a:ext>
              </a:extLst>
            </xdr:cNvPr>
            <xdr:cNvGraphicFramePr/>
          </xdr:nvGraphicFramePr>
          <xdr:xfrm>
            <a:off x="0" y="0"/>
            <a:ext cx="0" cy="0"/>
          </xdr:xfrm>
          <a:graphic>
            <a:graphicData uri="http://schemas.microsoft.com/office/drawing/2010/slicer">
              <sle:slicer xmlns:sle="http://schemas.microsoft.com/office/drawing/2010/slicer" name="Targeted_Quarter"/>
            </a:graphicData>
          </a:graphic>
        </xdr:graphicFrame>
      </mc:Choice>
      <mc:Fallback>
        <xdr:sp macro="" textlink="">
          <xdr:nvSpPr>
            <xdr:cNvPr id="0" name=""/>
            <xdr:cNvSpPr>
              <a:spLocks noTextEdit="1"/>
            </xdr:cNvSpPr>
          </xdr:nvSpPr>
          <xdr:spPr>
            <a:xfrm>
              <a:off x="3163583" y="2339878"/>
              <a:ext cx="1828800" cy="88002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 Naharki" refreshedDate="46161.930367361114" createdVersion="8" refreshedVersion="8" minRefreshableVersion="3" recordCount="611" xr:uid="{7C763354-6473-4C48-81A9-C245C311301D}">
  <cacheSource type="worksheet">
    <worksheetSource ref="B1:L612" sheet="Working Sheet"/>
  </cacheSource>
  <cacheFields count="11">
    <cacheField name="Coles_StoreIDNo" numFmtId="0">
      <sharedItems/>
    </cacheField>
    <cacheField name="Expec_Revenue" numFmtId="0">
      <sharedItems containsSemiMixedTypes="0" containsString="0" containsNumber="1" containsInteger="1" minValue="20" maxValue="50"/>
    </cacheField>
    <cacheField name="Gross_Sale" numFmtId="0">
      <sharedItems containsSemiMixedTypes="0" containsString="0" containsNumber="1" containsInteger="1" minValue="25" maxValue="89"/>
    </cacheField>
    <cacheField name="Sales_Cost" numFmtId="0">
      <sharedItems containsSemiMixedTypes="0" containsString="0" containsNumber="1" containsInteger="1" minValue="2" maxValue="20"/>
    </cacheField>
    <cacheField name="Targeted_Quarter" numFmtId="0">
      <sharedItems containsBlank="1" count="3">
        <s v="Q2 2023"/>
        <s v="Q1 2023"/>
        <m u="1"/>
      </sharedItems>
    </cacheField>
    <cacheField name="Coles_Forecast" numFmtId="0">
      <sharedItems containsBlank="1" count="3">
        <s v="On Target"/>
        <s v="Below Target"/>
        <m u="1"/>
      </sharedItems>
    </cacheField>
    <cacheField name="State" numFmtId="0">
      <sharedItems/>
    </cacheField>
    <cacheField name="Customer_Count" numFmtId="0">
      <sharedItems containsSemiMixedTypes="0" containsString="0" containsNumber="1" containsInteger="1" minValue="6010" maxValue="59969"/>
    </cacheField>
    <cacheField name="Store_data" numFmtId="0">
      <sharedItems containsSemiMixedTypes="0" containsString="0" containsNumber="1" containsInteger="1" minValue="1700" maxValue="2700"/>
    </cacheField>
    <cacheField name="Profit" numFmtId="0">
      <sharedItems containsSemiMixedTypes="0" containsString="0" containsNumber="1" containsInteger="1" minValue="11" maxValue="80"/>
    </cacheField>
    <cacheField name="Profit_Margin" numFmtId="164">
      <sharedItems containsSemiMixedTypes="0" containsString="0" containsNumber="1" minValue="0.41379310344827586" maxValue="0.96551724137931039"/>
    </cacheField>
  </cacheFields>
  <extLst>
    <ext xmlns:x14="http://schemas.microsoft.com/office/spreadsheetml/2009/9/main" uri="{725AE2AE-9491-48be-B2B4-4EB974FC3084}">
      <x14:pivotCacheDefinition pivotCacheId="37725992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nna Naharki" refreshedDate="46161.930367476853" createdVersion="8" refreshedVersion="8" minRefreshableVersion="3" recordCount="611" xr:uid="{D0E4512E-4D05-0C4F-9682-35322FC5CF6F}">
  <cacheSource type="worksheet">
    <worksheetSource ref="B1:L612" sheet="Working Sheet"/>
  </cacheSource>
  <cacheFields count="11">
    <cacheField name="Coles_StoreIDNo" numFmtId="0">
      <sharedItems/>
    </cacheField>
    <cacheField name="Expec_Revenue" numFmtId="0">
      <sharedItems containsSemiMixedTypes="0" containsString="0" containsNumber="1" containsInteger="1" minValue="20" maxValue="50"/>
    </cacheField>
    <cacheField name="Gross_Sale" numFmtId="0">
      <sharedItems containsSemiMixedTypes="0" containsString="0" containsNumber="1" containsInteger="1" minValue="25" maxValue="89" count="41">
        <n v="56"/>
        <n v="55"/>
        <n v="51"/>
        <n v="50"/>
        <n v="39"/>
        <n v="84"/>
        <n v="44"/>
        <n v="26"/>
        <n v="29"/>
        <n v="45"/>
        <n v="49"/>
        <n v="89"/>
        <n v="30"/>
        <n v="42"/>
        <n v="34"/>
        <n v="53"/>
        <n v="36"/>
        <n v="43"/>
        <n v="31"/>
        <n v="47"/>
        <n v="59"/>
        <n v="38"/>
        <n v="32"/>
        <n v="33"/>
        <n v="25"/>
        <n v="40"/>
        <n v="35"/>
        <n v="79"/>
        <n v="41"/>
        <n v="54"/>
        <n v="48"/>
        <n v="52"/>
        <n v="28"/>
        <n v="37"/>
        <n v="46"/>
        <n v="57"/>
        <n v="58"/>
        <n v="27"/>
        <n v="60"/>
        <n v="78"/>
        <n v="81"/>
      </sharedItems>
    </cacheField>
    <cacheField name="Sales_Cost" numFmtId="0">
      <sharedItems containsSemiMixedTypes="0" containsString="0" containsNumber="1" containsInteger="1" minValue="2" maxValue="20"/>
    </cacheField>
    <cacheField name="Targeted_Quarter" numFmtId="0">
      <sharedItems/>
    </cacheField>
    <cacheField name="Coles_Forecast" numFmtId="0">
      <sharedItems containsMixedTypes="1" containsNumber="1" containsInteger="1" minValue="0" maxValue="0" count="3">
        <s v="On Target"/>
        <s v="Below Target"/>
        <n v="0" u="1"/>
      </sharedItems>
    </cacheField>
    <cacheField name="State" numFmtId="0">
      <sharedItems count="8">
        <s v="QLD"/>
        <s v="NSW"/>
        <s v="VIC"/>
        <s v="SA"/>
        <s v="WA"/>
        <s v="ACT"/>
        <s v="TAS"/>
        <s v="NT"/>
      </sharedItems>
    </cacheField>
    <cacheField name="Customer_Count" numFmtId="0">
      <sharedItems containsSemiMixedTypes="0" containsString="0" containsNumber="1" containsInteger="1" minValue="6010" maxValue="59969"/>
    </cacheField>
    <cacheField name="Store_data" numFmtId="0">
      <sharedItems containsSemiMixedTypes="0" containsString="0" containsNumber="1" containsInteger="1" minValue="1700" maxValue="2700"/>
    </cacheField>
    <cacheField name="Profit" numFmtId="0">
      <sharedItems containsSemiMixedTypes="0" containsString="0" containsNumber="1" containsInteger="1" minValue="11" maxValue="80"/>
    </cacheField>
    <cacheField name="Profit_Margin" numFmtId="164">
      <sharedItems containsSemiMixedTypes="0" containsString="0" containsNumber="1" minValue="0.41379310344827586" maxValue="0.96551724137931039"/>
    </cacheField>
  </cacheFields>
  <extLst>
    <ext xmlns:x14="http://schemas.microsoft.com/office/spreadsheetml/2009/9/main" uri="{725AE2AE-9491-48be-B2B4-4EB974FC3084}">
      <x14:pivotCacheDefinition pivotCacheId="8735162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s v="C524"/>
    <n v="39"/>
    <n v="56"/>
    <n v="6"/>
    <x v="0"/>
    <x v="0"/>
    <s v="QLD"/>
    <n v="18445"/>
    <n v="2500"/>
    <n v="50"/>
    <n v="0.8928571428571429"/>
  </r>
  <r>
    <s v="C624"/>
    <n v="22"/>
    <n v="55"/>
    <n v="7"/>
    <x v="1"/>
    <x v="0"/>
    <s v="NSW"/>
    <n v="40535"/>
    <n v="2500"/>
    <n v="48"/>
    <n v="0.87272727272727268"/>
  </r>
  <r>
    <s v="C460"/>
    <n v="36"/>
    <n v="51"/>
    <n v="7"/>
    <x v="1"/>
    <x v="0"/>
    <s v="VIC"/>
    <n v="6146"/>
    <n v="1900"/>
    <n v="44"/>
    <n v="0.86274509803921573"/>
  </r>
  <r>
    <s v="C708"/>
    <n v="48"/>
    <n v="50"/>
    <n v="10"/>
    <x v="1"/>
    <x v="1"/>
    <s v="SA"/>
    <n v="9151"/>
    <n v="1900"/>
    <n v="40"/>
    <n v="0.8"/>
  </r>
  <r>
    <s v="C647"/>
    <n v="23"/>
    <n v="39"/>
    <n v="18"/>
    <x v="0"/>
    <x v="1"/>
    <s v="NSW"/>
    <n v="9308"/>
    <n v="1700"/>
    <n v="21"/>
    <n v="0.53846153846153844"/>
  </r>
  <r>
    <s v="C713"/>
    <n v="38"/>
    <n v="84"/>
    <n v="15"/>
    <x v="0"/>
    <x v="0"/>
    <s v="QLD"/>
    <n v="58430"/>
    <n v="2500"/>
    <n v="69"/>
    <n v="0.8214285714285714"/>
  </r>
  <r>
    <s v="C308"/>
    <n v="31"/>
    <n v="55"/>
    <n v="10"/>
    <x v="1"/>
    <x v="0"/>
    <s v="VIC"/>
    <n v="38603"/>
    <n v="2500"/>
    <n v="45"/>
    <n v="0.81818181818181823"/>
  </r>
  <r>
    <s v="C494"/>
    <n v="38"/>
    <n v="44"/>
    <n v="8"/>
    <x v="1"/>
    <x v="1"/>
    <s v="QLD"/>
    <n v="9545"/>
    <n v="1700"/>
    <n v="36"/>
    <n v="0.81818181818181823"/>
  </r>
  <r>
    <s v="C656"/>
    <n v="30"/>
    <n v="39"/>
    <n v="10"/>
    <x v="0"/>
    <x v="1"/>
    <s v="VIC"/>
    <n v="9357"/>
    <n v="1700"/>
    <n v="29"/>
    <n v="0.74358974358974361"/>
  </r>
  <r>
    <s v="C280"/>
    <n v="44"/>
    <n v="26"/>
    <n v="15"/>
    <x v="1"/>
    <x v="1"/>
    <s v="WA"/>
    <n v="8389"/>
    <n v="1700"/>
    <n v="11"/>
    <n v="0.42307692307692307"/>
  </r>
  <r>
    <s v="C738"/>
    <n v="34"/>
    <n v="29"/>
    <n v="13"/>
    <x v="1"/>
    <x v="1"/>
    <s v="VIC"/>
    <n v="8953"/>
    <n v="1700"/>
    <n v="16"/>
    <n v="0.55172413793103448"/>
  </r>
  <r>
    <s v="C164"/>
    <n v="49"/>
    <n v="45"/>
    <n v="9"/>
    <x v="0"/>
    <x v="1"/>
    <s v="ACT"/>
    <n v="7927"/>
    <n v="1900"/>
    <n v="36"/>
    <n v="0.8"/>
  </r>
  <r>
    <s v="C631"/>
    <n v="37"/>
    <n v="49"/>
    <n v="13"/>
    <x v="0"/>
    <x v="1"/>
    <s v="QLD"/>
    <n v="9755"/>
    <n v="1900"/>
    <n v="36"/>
    <n v="0.73469387755102045"/>
  </r>
  <r>
    <s v="C721"/>
    <n v="21"/>
    <n v="89"/>
    <n v="9"/>
    <x v="0"/>
    <x v="0"/>
    <s v="NSW"/>
    <n v="59732"/>
    <n v="2500"/>
    <n v="80"/>
    <n v="0.898876404494382"/>
  </r>
  <r>
    <s v="C535"/>
    <n v="49"/>
    <n v="30"/>
    <n v="10"/>
    <x v="0"/>
    <x v="1"/>
    <s v="TAS"/>
    <n v="8535"/>
    <n v="1700"/>
    <n v="20"/>
    <n v="0.66666666666666663"/>
  </r>
  <r>
    <s v="C621"/>
    <n v="37"/>
    <n v="56"/>
    <n v="9"/>
    <x v="0"/>
    <x v="0"/>
    <s v="QLD"/>
    <n v="44664"/>
    <n v="2500"/>
    <n v="47"/>
    <n v="0.8392857142857143"/>
  </r>
  <r>
    <s v="C454"/>
    <n v="50"/>
    <n v="39"/>
    <n v="13"/>
    <x v="1"/>
    <x v="1"/>
    <s v="NT"/>
    <n v="8255"/>
    <n v="1700"/>
    <n v="26"/>
    <n v="0.66666666666666663"/>
  </r>
  <r>
    <s v="C772"/>
    <n v="49"/>
    <n v="56"/>
    <n v="3"/>
    <x v="0"/>
    <x v="0"/>
    <s v="ACT"/>
    <n v="13319"/>
    <n v="2500"/>
    <n v="53"/>
    <n v="0.9464285714285714"/>
  </r>
  <r>
    <s v="C406"/>
    <n v="44"/>
    <n v="29"/>
    <n v="16"/>
    <x v="1"/>
    <x v="1"/>
    <s v="WA"/>
    <n v="6941"/>
    <n v="1700"/>
    <n v="13"/>
    <n v="0.44827586206896552"/>
  </r>
  <r>
    <s v="C196"/>
    <n v="44"/>
    <n v="42"/>
    <n v="6"/>
    <x v="1"/>
    <x v="1"/>
    <s v="WA"/>
    <n v="9539"/>
    <n v="1700"/>
    <n v="36"/>
    <n v="0.8571428571428571"/>
  </r>
  <r>
    <s v="C574"/>
    <n v="50"/>
    <n v="34"/>
    <n v="12"/>
    <x v="0"/>
    <x v="1"/>
    <s v="TAS"/>
    <n v="8342"/>
    <n v="1700"/>
    <n v="22"/>
    <n v="0.6470588235294118"/>
  </r>
  <r>
    <s v="C672"/>
    <n v="48"/>
    <n v="44"/>
    <n v="9"/>
    <x v="0"/>
    <x v="1"/>
    <s v="SA"/>
    <n v="9850"/>
    <n v="1700"/>
    <n v="35"/>
    <n v="0.79545454545454541"/>
  </r>
  <r>
    <s v="C450"/>
    <n v="27"/>
    <n v="53"/>
    <n v="11"/>
    <x v="1"/>
    <x v="0"/>
    <s v="NSW"/>
    <n v="7566"/>
    <n v="1900"/>
    <n v="42"/>
    <n v="0.79245283018867929"/>
  </r>
  <r>
    <s v="C699"/>
    <n v="33"/>
    <n v="49"/>
    <n v="12"/>
    <x v="1"/>
    <x v="0"/>
    <s v="VIC"/>
    <n v="7221"/>
    <n v="1900"/>
    <n v="37"/>
    <n v="0.75510204081632648"/>
  </r>
  <r>
    <s v="C760"/>
    <n v="24"/>
    <n v="36"/>
    <n v="12"/>
    <x v="0"/>
    <x v="0"/>
    <s v="NSW"/>
    <n v="9149"/>
    <n v="1700"/>
    <n v="24"/>
    <n v="0.66666666666666663"/>
  </r>
  <r>
    <s v="C174"/>
    <n v="22"/>
    <n v="34"/>
    <n v="10"/>
    <x v="0"/>
    <x v="0"/>
    <s v="NSW"/>
    <n v="7358"/>
    <n v="1700"/>
    <n v="24"/>
    <n v="0.70588235294117652"/>
  </r>
  <r>
    <s v="C344"/>
    <n v="36"/>
    <n v="43"/>
    <n v="5"/>
    <x v="1"/>
    <x v="0"/>
    <s v="VIC"/>
    <n v="9657"/>
    <n v="1700"/>
    <n v="38"/>
    <n v="0.88372093023255816"/>
  </r>
  <r>
    <s v="C382"/>
    <n v="24"/>
    <n v="53"/>
    <n v="11"/>
    <x v="1"/>
    <x v="0"/>
    <s v="NSW"/>
    <n v="7431"/>
    <n v="1900"/>
    <n v="42"/>
    <n v="0.79245283018867929"/>
  </r>
  <r>
    <s v="C419"/>
    <n v="25"/>
    <n v="42"/>
    <n v="13"/>
    <x v="0"/>
    <x v="0"/>
    <s v="NSW"/>
    <n v="7250"/>
    <n v="1700"/>
    <n v="29"/>
    <n v="0.69047619047619047"/>
  </r>
  <r>
    <s v="C640"/>
    <n v="42"/>
    <n v="55"/>
    <n v="5"/>
    <x v="1"/>
    <x v="0"/>
    <s v="QLD"/>
    <n v="50859"/>
    <n v="2500"/>
    <n v="50"/>
    <n v="0.90909090909090906"/>
  </r>
  <r>
    <s v="C317"/>
    <n v="43"/>
    <n v="31"/>
    <n v="8"/>
    <x v="0"/>
    <x v="1"/>
    <s v="QLD"/>
    <n v="9122"/>
    <n v="1700"/>
    <n v="23"/>
    <n v="0.74193548387096775"/>
  </r>
  <r>
    <s v="C336"/>
    <n v="41"/>
    <n v="47"/>
    <n v="7"/>
    <x v="0"/>
    <x v="1"/>
    <s v="QLD"/>
    <n v="9741"/>
    <n v="1900"/>
    <n v="40"/>
    <n v="0.85106382978723405"/>
  </r>
  <r>
    <s v="C309"/>
    <n v="40"/>
    <n v="29"/>
    <n v="5"/>
    <x v="0"/>
    <x v="1"/>
    <s v="QLD"/>
    <n v="6948"/>
    <n v="1700"/>
    <n v="24"/>
    <n v="0.82758620689655171"/>
  </r>
  <r>
    <s v="C163"/>
    <n v="30"/>
    <n v="59"/>
    <n v="9"/>
    <x v="0"/>
    <x v="0"/>
    <s v="VIC"/>
    <n v="25397"/>
    <n v="2700"/>
    <n v="50"/>
    <n v="0.84745762711864403"/>
  </r>
  <r>
    <s v="C461"/>
    <n v="29"/>
    <n v="50"/>
    <n v="20"/>
    <x v="1"/>
    <x v="0"/>
    <s v="VIC"/>
    <n v="9534"/>
    <n v="1900"/>
    <n v="30"/>
    <n v="0.6"/>
  </r>
  <r>
    <s v="C628"/>
    <n v="34"/>
    <n v="38"/>
    <n v="6"/>
    <x v="1"/>
    <x v="1"/>
    <s v="VIC"/>
    <n v="9912"/>
    <n v="1700"/>
    <n v="32"/>
    <n v="0.84210526315789469"/>
  </r>
  <r>
    <s v="C759"/>
    <n v="38"/>
    <n v="32"/>
    <n v="10"/>
    <x v="1"/>
    <x v="1"/>
    <s v="QLD"/>
    <n v="7869"/>
    <n v="1700"/>
    <n v="22"/>
    <n v="0.6875"/>
  </r>
  <r>
    <s v="C463"/>
    <n v="24"/>
    <n v="30"/>
    <n v="10"/>
    <x v="1"/>
    <x v="1"/>
    <s v="NSW"/>
    <n v="9097"/>
    <n v="1700"/>
    <n v="20"/>
    <n v="0.66666666666666663"/>
  </r>
  <r>
    <s v="C203"/>
    <n v="48"/>
    <n v="55"/>
    <n v="7"/>
    <x v="1"/>
    <x v="0"/>
    <s v="SA"/>
    <n v="22370"/>
    <n v="2500"/>
    <n v="48"/>
    <n v="0.87272727272727268"/>
  </r>
  <r>
    <s v="C245"/>
    <n v="28"/>
    <n v="50"/>
    <n v="7"/>
    <x v="1"/>
    <x v="0"/>
    <s v="NSW"/>
    <n v="8363"/>
    <n v="1900"/>
    <n v="43"/>
    <n v="0.86"/>
  </r>
  <r>
    <s v="C562"/>
    <n v="29"/>
    <n v="33"/>
    <n v="10"/>
    <x v="0"/>
    <x v="1"/>
    <s v="VIC"/>
    <n v="9242"/>
    <n v="1700"/>
    <n v="23"/>
    <n v="0.69696969696969702"/>
  </r>
  <r>
    <s v="C442"/>
    <n v="49"/>
    <n v="38"/>
    <n v="10"/>
    <x v="0"/>
    <x v="1"/>
    <s v="ACT"/>
    <n v="9026"/>
    <n v="1700"/>
    <n v="28"/>
    <n v="0.73684210526315785"/>
  </r>
  <r>
    <s v="C776"/>
    <n v="28"/>
    <n v="25"/>
    <n v="8"/>
    <x v="1"/>
    <x v="1"/>
    <s v="NSW"/>
    <n v="9015"/>
    <n v="1700"/>
    <n v="17"/>
    <n v="0.68"/>
  </r>
  <r>
    <s v="C271"/>
    <n v="45"/>
    <n v="40"/>
    <n v="6"/>
    <x v="0"/>
    <x v="1"/>
    <s v="WA"/>
    <n v="9319"/>
    <n v="1700"/>
    <n v="34"/>
    <n v="0.85"/>
  </r>
  <r>
    <s v="C373"/>
    <n v="26"/>
    <n v="53"/>
    <n v="11"/>
    <x v="1"/>
    <x v="0"/>
    <s v="NSW"/>
    <n v="8105"/>
    <n v="1900"/>
    <n v="42"/>
    <n v="0.79245283018867929"/>
  </r>
  <r>
    <s v="C550"/>
    <n v="41"/>
    <n v="50"/>
    <n v="9"/>
    <x v="0"/>
    <x v="0"/>
    <s v="QLD"/>
    <n v="7875"/>
    <n v="1900"/>
    <n v="41"/>
    <n v="0.82"/>
  </r>
  <r>
    <s v="C696"/>
    <n v="23"/>
    <n v="35"/>
    <n v="12"/>
    <x v="0"/>
    <x v="0"/>
    <s v="NSW"/>
    <n v="7735"/>
    <n v="1700"/>
    <n v="23"/>
    <n v="0.65714285714285714"/>
  </r>
  <r>
    <s v="C777"/>
    <n v="31"/>
    <n v="79"/>
    <n v="10"/>
    <x v="1"/>
    <x v="0"/>
    <s v="VIC"/>
    <n v="58191"/>
    <n v="2700"/>
    <n v="69"/>
    <n v="0.87341772151898733"/>
  </r>
  <r>
    <s v="C238"/>
    <n v="48"/>
    <n v="45"/>
    <n v="8"/>
    <x v="0"/>
    <x v="1"/>
    <s v="SA"/>
    <n v="8999"/>
    <n v="1900"/>
    <n v="37"/>
    <n v="0.82222222222222219"/>
  </r>
  <r>
    <s v="C425"/>
    <n v="25"/>
    <n v="41"/>
    <n v="9"/>
    <x v="0"/>
    <x v="0"/>
    <s v="NSW"/>
    <n v="8194"/>
    <n v="1700"/>
    <n v="32"/>
    <n v="0.78048780487804881"/>
  </r>
  <r>
    <s v="C493"/>
    <n v="44"/>
    <n v="54"/>
    <n v="10"/>
    <x v="1"/>
    <x v="0"/>
    <s v="WA"/>
    <n v="17557"/>
    <n v="2500"/>
    <n v="44"/>
    <n v="0.81481481481481477"/>
  </r>
  <r>
    <s v="C794"/>
    <n v="34"/>
    <n v="35"/>
    <n v="5"/>
    <x v="1"/>
    <x v="1"/>
    <s v="VIC"/>
    <n v="8796"/>
    <n v="1700"/>
    <n v="30"/>
    <n v="0.8571428571428571"/>
  </r>
  <r>
    <s v="C431"/>
    <n v="45"/>
    <n v="42"/>
    <n v="9"/>
    <x v="0"/>
    <x v="1"/>
    <s v="WA"/>
    <n v="7849"/>
    <n v="1700"/>
    <n v="33"/>
    <n v="0.7857142857142857"/>
  </r>
  <r>
    <s v="C348"/>
    <n v="27"/>
    <n v="40"/>
    <n v="13"/>
    <x v="1"/>
    <x v="0"/>
    <s v="NSW"/>
    <n v="8839"/>
    <n v="1700"/>
    <n v="27"/>
    <n v="0.67500000000000004"/>
  </r>
  <r>
    <s v="C694"/>
    <n v="28"/>
    <n v="39"/>
    <n v="9"/>
    <x v="1"/>
    <x v="0"/>
    <s v="NSW"/>
    <n v="6624"/>
    <n v="1700"/>
    <n v="30"/>
    <n v="0.76923076923076927"/>
  </r>
  <r>
    <s v="C349"/>
    <n v="29"/>
    <n v="43"/>
    <n v="12"/>
    <x v="0"/>
    <x v="0"/>
    <s v="VIC"/>
    <n v="8337"/>
    <n v="1700"/>
    <n v="31"/>
    <n v="0.72093023255813948"/>
  </r>
  <r>
    <s v="C674"/>
    <n v="36"/>
    <n v="47"/>
    <n v="10"/>
    <x v="0"/>
    <x v="0"/>
    <s v="VIC"/>
    <n v="7851"/>
    <n v="1900"/>
    <n v="37"/>
    <n v="0.78723404255319152"/>
  </r>
  <r>
    <s v="C773"/>
    <n v="48"/>
    <n v="50"/>
    <n v="6"/>
    <x v="0"/>
    <x v="1"/>
    <s v="SA"/>
    <n v="8173"/>
    <n v="1900"/>
    <n v="44"/>
    <n v="0.88"/>
  </r>
  <r>
    <s v="C182"/>
    <n v="42"/>
    <n v="56"/>
    <n v="13"/>
    <x v="1"/>
    <x v="0"/>
    <s v="QLD"/>
    <n v="51428"/>
    <n v="2500"/>
    <n v="43"/>
    <n v="0.7678571428571429"/>
  </r>
  <r>
    <s v="C664"/>
    <n v="41"/>
    <n v="41"/>
    <n v="11"/>
    <x v="0"/>
    <x v="1"/>
    <s v="QLD"/>
    <n v="9593"/>
    <n v="1700"/>
    <n v="30"/>
    <n v="0.73170731707317072"/>
  </r>
  <r>
    <s v="C192"/>
    <n v="50"/>
    <n v="36"/>
    <n v="11"/>
    <x v="0"/>
    <x v="1"/>
    <s v="TAS"/>
    <n v="7207"/>
    <n v="1700"/>
    <n v="25"/>
    <n v="0.69444444444444442"/>
  </r>
  <r>
    <s v="C366"/>
    <n v="26"/>
    <n v="59"/>
    <n v="11"/>
    <x v="1"/>
    <x v="0"/>
    <s v="NSW"/>
    <n v="28776"/>
    <n v="2700"/>
    <n v="48"/>
    <n v="0.81355932203389836"/>
  </r>
  <r>
    <s v="C682"/>
    <n v="24"/>
    <n v="48"/>
    <n v="11"/>
    <x v="1"/>
    <x v="0"/>
    <s v="NSW"/>
    <n v="8926"/>
    <n v="1900"/>
    <n v="37"/>
    <n v="0.77083333333333337"/>
  </r>
  <r>
    <s v="C597"/>
    <n v="35"/>
    <n v="49"/>
    <n v="14"/>
    <x v="0"/>
    <x v="0"/>
    <s v="VIC"/>
    <n v="7378"/>
    <n v="1900"/>
    <n v="35"/>
    <n v="0.7142857142857143"/>
  </r>
  <r>
    <s v="C341"/>
    <n v="47"/>
    <n v="45"/>
    <n v="12"/>
    <x v="0"/>
    <x v="1"/>
    <s v="WA"/>
    <n v="6819"/>
    <n v="1900"/>
    <n v="33"/>
    <n v="0.73333333333333328"/>
  </r>
  <r>
    <s v="C484"/>
    <n v="22"/>
    <n v="42"/>
    <n v="8"/>
    <x v="0"/>
    <x v="0"/>
    <s v="NSW"/>
    <n v="6334"/>
    <n v="1700"/>
    <n v="34"/>
    <n v="0.80952380952380953"/>
  </r>
  <r>
    <s v="C293"/>
    <n v="30"/>
    <n v="35"/>
    <n v="10"/>
    <x v="1"/>
    <x v="1"/>
    <s v="VIC"/>
    <n v="7261"/>
    <n v="1700"/>
    <n v="25"/>
    <n v="0.7142857142857143"/>
  </r>
  <r>
    <s v="C208"/>
    <n v="50"/>
    <n v="32"/>
    <n v="4"/>
    <x v="0"/>
    <x v="1"/>
    <s v="NT"/>
    <n v="9124"/>
    <n v="1700"/>
    <n v="28"/>
    <n v="0.875"/>
  </r>
  <r>
    <s v="C281"/>
    <n v="27"/>
    <n v="50"/>
    <n v="6"/>
    <x v="0"/>
    <x v="0"/>
    <s v="NSW"/>
    <n v="8844"/>
    <n v="1900"/>
    <n v="44"/>
    <n v="0.88"/>
  </r>
  <r>
    <s v="C167"/>
    <n v="31"/>
    <n v="43"/>
    <n v="12"/>
    <x v="0"/>
    <x v="0"/>
    <s v="VIC"/>
    <n v="8425"/>
    <n v="1700"/>
    <n v="31"/>
    <n v="0.72093023255813948"/>
  </r>
  <r>
    <s v="C614"/>
    <n v="47"/>
    <n v="51"/>
    <n v="15"/>
    <x v="0"/>
    <x v="1"/>
    <s v="WA"/>
    <n v="9545"/>
    <n v="1900"/>
    <n v="36"/>
    <n v="0.70588235294117652"/>
  </r>
  <r>
    <s v="C169"/>
    <n v="41"/>
    <n v="41"/>
    <n v="12"/>
    <x v="1"/>
    <x v="1"/>
    <s v="QLD"/>
    <n v="8547"/>
    <n v="1700"/>
    <n v="29"/>
    <n v="0.70731707317073167"/>
  </r>
  <r>
    <s v="C422"/>
    <n v="33"/>
    <n v="36"/>
    <n v="6"/>
    <x v="0"/>
    <x v="1"/>
    <s v="VIC"/>
    <n v="8902"/>
    <n v="1700"/>
    <n v="30"/>
    <n v="0.83333333333333337"/>
  </r>
  <r>
    <s v="C395"/>
    <n v="40"/>
    <n v="52"/>
    <n v="12"/>
    <x v="1"/>
    <x v="0"/>
    <s v="QLD"/>
    <n v="7036"/>
    <n v="1900"/>
    <n v="40"/>
    <n v="0.76923076923076927"/>
  </r>
  <r>
    <s v="C686"/>
    <n v="38"/>
    <n v="28"/>
    <n v="9"/>
    <x v="1"/>
    <x v="1"/>
    <s v="QLD"/>
    <n v="6901"/>
    <n v="1700"/>
    <n v="19"/>
    <n v="0.6785714285714286"/>
  </r>
  <r>
    <s v="C643"/>
    <n v="42"/>
    <n v="41"/>
    <n v="12"/>
    <x v="0"/>
    <x v="1"/>
    <s v="QLD"/>
    <n v="7199"/>
    <n v="1700"/>
    <n v="29"/>
    <n v="0.70731707317073167"/>
  </r>
  <r>
    <s v="C324"/>
    <n v="21"/>
    <n v="29"/>
    <n v="7"/>
    <x v="0"/>
    <x v="0"/>
    <s v="NSW"/>
    <n v="7965"/>
    <n v="1700"/>
    <n v="22"/>
    <n v="0.75862068965517238"/>
  </r>
  <r>
    <s v="C356"/>
    <n v="32"/>
    <n v="40"/>
    <n v="11"/>
    <x v="1"/>
    <x v="1"/>
    <s v="VIC"/>
    <n v="6901"/>
    <n v="1700"/>
    <n v="29"/>
    <n v="0.72499999999999998"/>
  </r>
  <r>
    <s v="C507"/>
    <n v="26"/>
    <n v="48"/>
    <n v="12"/>
    <x v="1"/>
    <x v="0"/>
    <s v="NSW"/>
    <n v="6125"/>
    <n v="1900"/>
    <n v="36"/>
    <n v="0.75"/>
  </r>
  <r>
    <s v="C591"/>
    <n v="26"/>
    <n v="37"/>
    <n v="11"/>
    <x v="1"/>
    <x v="0"/>
    <s v="NSW"/>
    <n v="9655"/>
    <n v="1700"/>
    <n v="26"/>
    <n v="0.70270270270270274"/>
  </r>
  <r>
    <s v="C634"/>
    <n v="42"/>
    <n v="52"/>
    <n v="3"/>
    <x v="0"/>
    <x v="0"/>
    <s v="QLD"/>
    <n v="8638"/>
    <n v="1900"/>
    <n v="49"/>
    <n v="0.94230769230769229"/>
  </r>
  <r>
    <s v="C456"/>
    <n v="32"/>
    <n v="39"/>
    <n v="12"/>
    <x v="0"/>
    <x v="1"/>
    <s v="VIC"/>
    <n v="7789"/>
    <n v="1700"/>
    <n v="27"/>
    <n v="0.69230769230769229"/>
  </r>
  <r>
    <s v="C800"/>
    <n v="29"/>
    <n v="40"/>
    <n v="9"/>
    <x v="0"/>
    <x v="0"/>
    <s v="VIC"/>
    <n v="9872"/>
    <n v="1700"/>
    <n v="31"/>
    <n v="0.77500000000000002"/>
  </r>
  <r>
    <s v="C523"/>
    <n v="24"/>
    <n v="46"/>
    <n v="13"/>
    <x v="0"/>
    <x v="0"/>
    <s v="NSW"/>
    <n v="8372"/>
    <n v="1900"/>
    <n v="33"/>
    <n v="0.71739130434782605"/>
  </r>
  <r>
    <s v="C124"/>
    <n v="30"/>
    <n v="41"/>
    <n v="6"/>
    <x v="1"/>
    <x v="0"/>
    <s v="VIC"/>
    <n v="6867"/>
    <n v="1700"/>
    <n v="35"/>
    <n v="0.85365853658536583"/>
  </r>
  <r>
    <s v="C515"/>
    <n v="37"/>
    <n v="47"/>
    <n v="11"/>
    <x v="1"/>
    <x v="1"/>
    <s v="QLD"/>
    <n v="8007"/>
    <n v="1900"/>
    <n v="36"/>
    <n v="0.76595744680851063"/>
  </r>
  <r>
    <s v="C355"/>
    <n v="30"/>
    <n v="37"/>
    <n v="15"/>
    <x v="0"/>
    <x v="1"/>
    <s v="VIC"/>
    <n v="8862"/>
    <n v="1700"/>
    <n v="22"/>
    <n v="0.59459459459459463"/>
  </r>
  <r>
    <s v="C459"/>
    <n v="23"/>
    <n v="40"/>
    <n v="9"/>
    <x v="0"/>
    <x v="0"/>
    <s v="NSW"/>
    <n v="9265"/>
    <n v="1700"/>
    <n v="31"/>
    <n v="0.77500000000000002"/>
  </r>
  <r>
    <s v="C739"/>
    <n v="22"/>
    <n v="30"/>
    <n v="7"/>
    <x v="0"/>
    <x v="0"/>
    <s v="NSW"/>
    <n v="6680"/>
    <n v="1700"/>
    <n v="23"/>
    <n v="0.76666666666666672"/>
  </r>
  <r>
    <s v="C303"/>
    <n v="29"/>
    <n v="49"/>
    <n v="9"/>
    <x v="1"/>
    <x v="0"/>
    <s v="VIC"/>
    <n v="7577"/>
    <n v="1900"/>
    <n v="40"/>
    <n v="0.81632653061224492"/>
  </r>
  <r>
    <s v="C234"/>
    <n v="27"/>
    <n v="53"/>
    <n v="11"/>
    <x v="1"/>
    <x v="0"/>
    <s v="NSW"/>
    <n v="8944"/>
    <n v="1900"/>
    <n v="42"/>
    <n v="0.79245283018867929"/>
  </r>
  <r>
    <s v="C314"/>
    <n v="47"/>
    <n v="40"/>
    <n v="7"/>
    <x v="1"/>
    <x v="1"/>
    <s v="SA"/>
    <n v="8372"/>
    <n v="1700"/>
    <n v="33"/>
    <n v="0.82499999999999996"/>
  </r>
  <r>
    <s v="C476"/>
    <n v="21"/>
    <n v="59"/>
    <n v="13"/>
    <x v="0"/>
    <x v="0"/>
    <s v="NSW"/>
    <n v="24760"/>
    <n v="2700"/>
    <n v="46"/>
    <n v="0.77966101694915257"/>
  </r>
  <r>
    <s v="C549"/>
    <n v="41"/>
    <n v="49"/>
    <n v="9"/>
    <x v="0"/>
    <x v="1"/>
    <s v="QLD"/>
    <n v="8641"/>
    <n v="1900"/>
    <n v="40"/>
    <n v="0.81632653061224492"/>
  </r>
  <r>
    <s v="C148"/>
    <n v="34"/>
    <n v="57"/>
    <n v="14"/>
    <x v="0"/>
    <x v="0"/>
    <s v="VIC"/>
    <n v="46575"/>
    <n v="2700"/>
    <n v="43"/>
    <n v="0.75438596491228072"/>
  </r>
  <r>
    <s v="C200"/>
    <n v="44"/>
    <n v="45"/>
    <n v="8"/>
    <x v="1"/>
    <x v="1"/>
    <s v="WA"/>
    <n v="6158"/>
    <n v="1900"/>
    <n v="37"/>
    <n v="0.82222222222222219"/>
  </r>
  <r>
    <s v="C294"/>
    <n v="38"/>
    <n v="30"/>
    <n v="12"/>
    <x v="1"/>
    <x v="1"/>
    <s v="QLD"/>
    <n v="6445"/>
    <n v="1700"/>
    <n v="18"/>
    <n v="0.6"/>
  </r>
  <r>
    <s v="C751"/>
    <n v="26"/>
    <n v="58"/>
    <n v="14"/>
    <x v="1"/>
    <x v="0"/>
    <s v="NSW"/>
    <n v="17117"/>
    <n v="2700"/>
    <n v="44"/>
    <n v="0.75862068965517238"/>
  </r>
  <r>
    <s v="C652"/>
    <n v="35"/>
    <n v="37"/>
    <n v="13"/>
    <x v="0"/>
    <x v="1"/>
    <s v="VIC"/>
    <n v="6274"/>
    <n v="1700"/>
    <n v="24"/>
    <n v="0.64864864864864868"/>
  </r>
  <r>
    <s v="C104"/>
    <n v="36"/>
    <n v="40"/>
    <n v="13"/>
    <x v="1"/>
    <x v="1"/>
    <s v="VIC"/>
    <n v="7408"/>
    <n v="1700"/>
    <n v="27"/>
    <n v="0.67500000000000004"/>
  </r>
  <r>
    <s v="C269"/>
    <n v="44"/>
    <n v="31"/>
    <n v="9"/>
    <x v="0"/>
    <x v="1"/>
    <s v="WA"/>
    <n v="8344"/>
    <n v="1700"/>
    <n v="22"/>
    <n v="0.70967741935483875"/>
  </r>
  <r>
    <s v="C266"/>
    <n v="35"/>
    <n v="36"/>
    <n v="7"/>
    <x v="0"/>
    <x v="1"/>
    <s v="VIC"/>
    <n v="7020"/>
    <n v="1700"/>
    <n v="29"/>
    <n v="0.80555555555555558"/>
  </r>
  <r>
    <s v="C778"/>
    <n v="39"/>
    <n v="39"/>
    <n v="10"/>
    <x v="0"/>
    <x v="1"/>
    <s v="QLD"/>
    <n v="6204"/>
    <n v="1700"/>
    <n v="29"/>
    <n v="0.74358974358974361"/>
  </r>
  <r>
    <s v="C698"/>
    <n v="43"/>
    <n v="37"/>
    <n v="5"/>
    <x v="1"/>
    <x v="1"/>
    <s v="QLD"/>
    <n v="9700"/>
    <n v="1700"/>
    <n v="32"/>
    <n v="0.86486486486486491"/>
  </r>
  <r>
    <s v="C404"/>
    <n v="44"/>
    <n v="43"/>
    <n v="7"/>
    <x v="1"/>
    <x v="1"/>
    <s v="WA"/>
    <n v="8055"/>
    <n v="1700"/>
    <n v="36"/>
    <n v="0.83720930232558144"/>
  </r>
  <r>
    <s v="C623"/>
    <n v="27"/>
    <n v="40"/>
    <n v="7"/>
    <x v="1"/>
    <x v="0"/>
    <s v="NSW"/>
    <n v="6700"/>
    <n v="1700"/>
    <n v="33"/>
    <n v="0.82499999999999996"/>
  </r>
  <r>
    <s v="C639"/>
    <n v="32"/>
    <n v="36"/>
    <n v="11"/>
    <x v="0"/>
    <x v="1"/>
    <s v="VIC"/>
    <n v="9312"/>
    <n v="1700"/>
    <n v="25"/>
    <n v="0.69444444444444442"/>
  </r>
  <r>
    <s v="C648"/>
    <n v="32"/>
    <n v="33"/>
    <n v="9"/>
    <x v="1"/>
    <x v="1"/>
    <s v="VIC"/>
    <n v="8566"/>
    <n v="1700"/>
    <n v="24"/>
    <n v="0.72727272727272729"/>
  </r>
  <r>
    <s v="C725"/>
    <n v="21"/>
    <n v="50"/>
    <n v="11"/>
    <x v="0"/>
    <x v="0"/>
    <s v="NSW"/>
    <n v="9147"/>
    <n v="1900"/>
    <n v="39"/>
    <n v="0.78"/>
  </r>
  <r>
    <s v="C775"/>
    <n v="48"/>
    <n v="31"/>
    <n v="7"/>
    <x v="0"/>
    <x v="1"/>
    <s v="SA"/>
    <n v="6713"/>
    <n v="1700"/>
    <n v="24"/>
    <n v="0.77419354838709675"/>
  </r>
  <r>
    <s v="C593"/>
    <n v="43"/>
    <n v="50"/>
    <n v="14"/>
    <x v="0"/>
    <x v="1"/>
    <s v="QLD"/>
    <n v="8214"/>
    <n v="1900"/>
    <n v="36"/>
    <n v="0.72"/>
  </r>
  <r>
    <s v="C611"/>
    <n v="22"/>
    <n v="48"/>
    <n v="8"/>
    <x v="0"/>
    <x v="0"/>
    <s v="NSW"/>
    <n v="8332"/>
    <n v="1900"/>
    <n v="40"/>
    <n v="0.83333333333333337"/>
  </r>
  <r>
    <s v="C302"/>
    <n v="24"/>
    <n v="40"/>
    <n v="14"/>
    <x v="1"/>
    <x v="0"/>
    <s v="NSW"/>
    <n v="6156"/>
    <n v="1700"/>
    <n v="26"/>
    <n v="0.65"/>
  </r>
  <r>
    <s v="C709"/>
    <n v="28"/>
    <n v="29"/>
    <n v="10"/>
    <x v="0"/>
    <x v="1"/>
    <s v="NSW"/>
    <n v="6992"/>
    <n v="1700"/>
    <n v="19"/>
    <n v="0.65517241379310343"/>
  </r>
  <r>
    <s v="C187"/>
    <n v="40"/>
    <n v="36"/>
    <n v="8"/>
    <x v="1"/>
    <x v="1"/>
    <s v="QLD"/>
    <n v="8878"/>
    <n v="1700"/>
    <n v="28"/>
    <n v="0.77777777777777779"/>
  </r>
  <r>
    <s v="C637"/>
    <n v="29"/>
    <n v="53"/>
    <n v="13"/>
    <x v="0"/>
    <x v="0"/>
    <s v="VIC"/>
    <n v="7704"/>
    <n v="1900"/>
    <n v="40"/>
    <n v="0.75471698113207553"/>
  </r>
  <r>
    <s v="C418"/>
    <n v="34"/>
    <n v="29"/>
    <n v="14"/>
    <x v="1"/>
    <x v="1"/>
    <s v="VIC"/>
    <n v="9454"/>
    <n v="1700"/>
    <n v="15"/>
    <n v="0.51724137931034486"/>
  </r>
  <r>
    <s v="C472"/>
    <n v="36"/>
    <n v="42"/>
    <n v="10"/>
    <x v="1"/>
    <x v="1"/>
    <s v="VIC"/>
    <n v="9254"/>
    <n v="1700"/>
    <n v="32"/>
    <n v="0.76190476190476186"/>
  </r>
  <r>
    <s v="C284"/>
    <n v="43"/>
    <n v="53"/>
    <n v="11"/>
    <x v="0"/>
    <x v="1"/>
    <s v="QLD"/>
    <n v="9413"/>
    <n v="1900"/>
    <n v="42"/>
    <n v="0.79245283018867929"/>
  </r>
  <r>
    <s v="C321"/>
    <n v="46"/>
    <n v="28"/>
    <n v="12"/>
    <x v="1"/>
    <x v="1"/>
    <s v="WA"/>
    <n v="8423"/>
    <n v="1700"/>
    <n v="16"/>
    <n v="0.5714285714285714"/>
  </r>
  <r>
    <s v="C757"/>
    <n v="37"/>
    <n v="32"/>
    <n v="11"/>
    <x v="0"/>
    <x v="1"/>
    <s v="VIC"/>
    <n v="9380"/>
    <n v="1700"/>
    <n v="21"/>
    <n v="0.65625"/>
  </r>
  <r>
    <s v="C666"/>
    <n v="32"/>
    <n v="35"/>
    <n v="15"/>
    <x v="0"/>
    <x v="1"/>
    <s v="VIC"/>
    <n v="8736"/>
    <n v="1700"/>
    <n v="20"/>
    <n v="0.5714285714285714"/>
  </r>
  <r>
    <s v="C276"/>
    <n v="35"/>
    <n v="48"/>
    <n v="9"/>
    <x v="0"/>
    <x v="0"/>
    <s v="VIC"/>
    <n v="7259"/>
    <n v="1900"/>
    <n v="39"/>
    <n v="0.8125"/>
  </r>
  <r>
    <s v="C642"/>
    <n v="30"/>
    <n v="53"/>
    <n v="12"/>
    <x v="1"/>
    <x v="0"/>
    <s v="VIC"/>
    <n v="7798"/>
    <n v="1900"/>
    <n v="41"/>
    <n v="0.77358490566037741"/>
  </r>
  <r>
    <s v="C198"/>
    <n v="25"/>
    <n v="30"/>
    <n v="5"/>
    <x v="0"/>
    <x v="0"/>
    <s v="NSW"/>
    <n v="6058"/>
    <n v="1700"/>
    <n v="25"/>
    <n v="0.83333333333333337"/>
  </r>
  <r>
    <s v="C462"/>
    <n v="30"/>
    <n v="31"/>
    <n v="4"/>
    <x v="0"/>
    <x v="1"/>
    <s v="VIC"/>
    <n v="6399"/>
    <n v="1700"/>
    <n v="27"/>
    <n v="0.87096774193548387"/>
  </r>
  <r>
    <s v="C345"/>
    <n v="39"/>
    <n v="29"/>
    <n v="4"/>
    <x v="0"/>
    <x v="1"/>
    <s v="QLD"/>
    <n v="8893"/>
    <n v="1700"/>
    <n v="25"/>
    <n v="0.86206896551724133"/>
  </r>
  <r>
    <s v="C489"/>
    <n v="39"/>
    <n v="48"/>
    <n v="9"/>
    <x v="0"/>
    <x v="0"/>
    <s v="QLD"/>
    <n v="9662"/>
    <n v="1900"/>
    <n v="39"/>
    <n v="0.8125"/>
  </r>
  <r>
    <s v="C761"/>
    <n v="27"/>
    <n v="55"/>
    <n v="14"/>
    <x v="0"/>
    <x v="0"/>
    <s v="NSW"/>
    <n v="52103"/>
    <n v="2500"/>
    <n v="41"/>
    <n v="0.74545454545454548"/>
  </r>
  <r>
    <s v="C177"/>
    <n v="22"/>
    <n v="26"/>
    <n v="11"/>
    <x v="1"/>
    <x v="1"/>
    <s v="NSW"/>
    <n v="9543"/>
    <n v="1700"/>
    <n v="15"/>
    <n v="0.57692307692307687"/>
  </r>
  <r>
    <s v="C410"/>
    <n v="31"/>
    <n v="43"/>
    <n v="8"/>
    <x v="1"/>
    <x v="0"/>
    <s v="VIC"/>
    <n v="9220"/>
    <n v="1700"/>
    <n v="35"/>
    <n v="0.81395348837209303"/>
  </r>
  <r>
    <s v="C217"/>
    <n v="49"/>
    <n v="45"/>
    <n v="7"/>
    <x v="0"/>
    <x v="1"/>
    <s v="ACT"/>
    <n v="8363"/>
    <n v="1900"/>
    <n v="38"/>
    <n v="0.84444444444444444"/>
  </r>
  <r>
    <s v="C763"/>
    <n v="44"/>
    <n v="59"/>
    <n v="14"/>
    <x v="1"/>
    <x v="0"/>
    <s v="WA"/>
    <n v="9690"/>
    <n v="2700"/>
    <n v="45"/>
    <n v="0.76271186440677963"/>
  </r>
  <r>
    <s v="C544"/>
    <n v="24"/>
    <n v="49"/>
    <n v="6"/>
    <x v="1"/>
    <x v="0"/>
    <s v="NSW"/>
    <n v="8948"/>
    <n v="1900"/>
    <n v="43"/>
    <n v="0.87755102040816324"/>
  </r>
  <r>
    <s v="C458"/>
    <n v="50"/>
    <n v="43"/>
    <n v="11"/>
    <x v="0"/>
    <x v="1"/>
    <s v="NT"/>
    <n v="6047"/>
    <n v="1700"/>
    <n v="32"/>
    <n v="0.7441860465116279"/>
  </r>
  <r>
    <s v="C695"/>
    <n v="44"/>
    <n v="40"/>
    <n v="6"/>
    <x v="1"/>
    <x v="1"/>
    <s v="WA"/>
    <n v="6010"/>
    <n v="1700"/>
    <n v="34"/>
    <n v="0.85"/>
  </r>
  <r>
    <s v="C353"/>
    <n v="21"/>
    <n v="46"/>
    <n v="9"/>
    <x v="0"/>
    <x v="0"/>
    <s v="NSW"/>
    <n v="7484"/>
    <n v="1900"/>
    <n v="37"/>
    <n v="0.80434782608695654"/>
  </r>
  <r>
    <s v="C157"/>
    <n v="33"/>
    <n v="51"/>
    <n v="9"/>
    <x v="0"/>
    <x v="0"/>
    <s v="VIC"/>
    <n v="6284"/>
    <n v="1900"/>
    <n v="42"/>
    <n v="0.82352941176470584"/>
  </r>
  <r>
    <s v="C299"/>
    <n v="29"/>
    <n v="54"/>
    <n v="9"/>
    <x v="0"/>
    <x v="0"/>
    <s v="VIC"/>
    <n v="42361"/>
    <n v="2500"/>
    <n v="45"/>
    <n v="0.83333333333333337"/>
  </r>
  <r>
    <s v="C254"/>
    <n v="31"/>
    <n v="47"/>
    <n v="9"/>
    <x v="0"/>
    <x v="0"/>
    <s v="VIC"/>
    <n v="6354"/>
    <n v="1900"/>
    <n v="38"/>
    <n v="0.80851063829787229"/>
  </r>
  <r>
    <s v="C783"/>
    <n v="31"/>
    <n v="45"/>
    <n v="9"/>
    <x v="0"/>
    <x v="0"/>
    <s v="VIC"/>
    <n v="9060"/>
    <n v="1900"/>
    <n v="36"/>
    <n v="0.8"/>
  </r>
  <r>
    <s v="C117"/>
    <n v="44"/>
    <n v="45"/>
    <n v="10"/>
    <x v="0"/>
    <x v="1"/>
    <s v="WA"/>
    <n v="9573"/>
    <n v="1900"/>
    <n v="35"/>
    <n v="0.77777777777777779"/>
  </r>
  <r>
    <s v="C178"/>
    <n v="20"/>
    <n v="49"/>
    <n v="12"/>
    <x v="1"/>
    <x v="0"/>
    <s v="NSW"/>
    <n v="6583"/>
    <n v="1900"/>
    <n v="37"/>
    <n v="0.75510204081632648"/>
  </r>
  <r>
    <s v="C764"/>
    <n v="33"/>
    <n v="54"/>
    <n v="8"/>
    <x v="0"/>
    <x v="0"/>
    <s v="VIC"/>
    <n v="28766"/>
    <n v="2500"/>
    <n v="46"/>
    <n v="0.85185185185185186"/>
  </r>
  <r>
    <s v="C645"/>
    <n v="30"/>
    <n v="57"/>
    <n v="15"/>
    <x v="1"/>
    <x v="0"/>
    <s v="VIC"/>
    <n v="52424"/>
    <n v="2700"/>
    <n v="42"/>
    <n v="0.73684210526315785"/>
  </r>
  <r>
    <s v="C369"/>
    <n v="49"/>
    <n v="38"/>
    <n v="8"/>
    <x v="0"/>
    <x v="1"/>
    <s v="TAS"/>
    <n v="8820"/>
    <n v="1700"/>
    <n v="30"/>
    <n v="0.78947368421052633"/>
  </r>
  <r>
    <s v="C338"/>
    <n v="44"/>
    <n v="43"/>
    <n v="14"/>
    <x v="1"/>
    <x v="1"/>
    <s v="WA"/>
    <n v="8295"/>
    <n v="1700"/>
    <n v="29"/>
    <n v="0.67441860465116277"/>
  </r>
  <r>
    <s v="C237"/>
    <n v="30"/>
    <n v="50"/>
    <n v="15"/>
    <x v="1"/>
    <x v="0"/>
    <s v="VIC"/>
    <n v="8816"/>
    <n v="1900"/>
    <n v="35"/>
    <n v="0.7"/>
  </r>
  <r>
    <s v="C481"/>
    <n v="40"/>
    <n v="39"/>
    <n v="5"/>
    <x v="0"/>
    <x v="1"/>
    <s v="QLD"/>
    <n v="9059"/>
    <n v="1700"/>
    <n v="34"/>
    <n v="0.87179487179487181"/>
  </r>
  <r>
    <s v="C297"/>
    <n v="20"/>
    <n v="47"/>
    <n v="16"/>
    <x v="1"/>
    <x v="0"/>
    <s v="NSW"/>
    <n v="6720"/>
    <n v="1900"/>
    <n v="31"/>
    <n v="0.65957446808510634"/>
  </r>
  <r>
    <s v="C601"/>
    <n v="28"/>
    <n v="35"/>
    <n v="12"/>
    <x v="1"/>
    <x v="1"/>
    <s v="NSW"/>
    <n v="6092"/>
    <n v="1700"/>
    <n v="23"/>
    <n v="0.65714285714285714"/>
  </r>
  <r>
    <s v="C127"/>
    <n v="33"/>
    <n v="45"/>
    <n v="13"/>
    <x v="1"/>
    <x v="1"/>
    <s v="VIC"/>
    <n v="9473"/>
    <n v="1900"/>
    <n v="32"/>
    <n v="0.71111111111111114"/>
  </r>
  <r>
    <s v="C401"/>
    <n v="38"/>
    <n v="40"/>
    <n v="6"/>
    <x v="1"/>
    <x v="1"/>
    <s v="QLD"/>
    <n v="6348"/>
    <n v="1700"/>
    <n v="34"/>
    <n v="0.85"/>
  </r>
  <r>
    <s v="C274"/>
    <n v="28"/>
    <n v="48"/>
    <n v="6"/>
    <x v="0"/>
    <x v="0"/>
    <s v="NSW"/>
    <n v="6988"/>
    <n v="1900"/>
    <n v="42"/>
    <n v="0.875"/>
  </r>
  <r>
    <s v="C792"/>
    <n v="34"/>
    <n v="35"/>
    <n v="10"/>
    <x v="0"/>
    <x v="1"/>
    <s v="VIC"/>
    <n v="9148"/>
    <n v="1700"/>
    <n v="25"/>
    <n v="0.7142857142857143"/>
  </r>
  <r>
    <s v="C692"/>
    <n v="29"/>
    <n v="37"/>
    <n v="9"/>
    <x v="1"/>
    <x v="1"/>
    <s v="VIC"/>
    <n v="8237"/>
    <n v="1700"/>
    <n v="28"/>
    <n v="0.7567567567567568"/>
  </r>
  <r>
    <s v="C758"/>
    <n v="24"/>
    <n v="40"/>
    <n v="8"/>
    <x v="0"/>
    <x v="0"/>
    <s v="NSW"/>
    <n v="8940"/>
    <n v="1700"/>
    <n v="32"/>
    <n v="0.8"/>
  </r>
  <r>
    <s v="C360"/>
    <n v="37"/>
    <n v="31"/>
    <n v="13"/>
    <x v="0"/>
    <x v="1"/>
    <s v="QLD"/>
    <n v="8543"/>
    <n v="1700"/>
    <n v="18"/>
    <n v="0.58064516129032262"/>
  </r>
  <r>
    <s v="C236"/>
    <n v="45"/>
    <n v="44"/>
    <n v="9"/>
    <x v="1"/>
    <x v="1"/>
    <s v="WA"/>
    <n v="7709"/>
    <n v="1700"/>
    <n v="35"/>
    <n v="0.79545454545454541"/>
  </r>
  <r>
    <s v="C540"/>
    <n v="40"/>
    <n v="36"/>
    <n v="12"/>
    <x v="0"/>
    <x v="1"/>
    <s v="QLD"/>
    <n v="7373"/>
    <n v="1700"/>
    <n v="24"/>
    <n v="0.66666666666666663"/>
  </r>
  <r>
    <s v="C680"/>
    <n v="24"/>
    <n v="47"/>
    <n v="13"/>
    <x v="0"/>
    <x v="0"/>
    <s v="NSW"/>
    <n v="7256"/>
    <n v="1900"/>
    <n v="34"/>
    <n v="0.72340425531914898"/>
  </r>
  <r>
    <s v="C118"/>
    <n v="38"/>
    <n v="33"/>
    <n v="10"/>
    <x v="1"/>
    <x v="1"/>
    <s v="QLD"/>
    <n v="7677"/>
    <n v="1700"/>
    <n v="23"/>
    <n v="0.69696969696969702"/>
  </r>
  <r>
    <s v="C596"/>
    <n v="33"/>
    <n v="53"/>
    <n v="13"/>
    <x v="1"/>
    <x v="0"/>
    <s v="VIC"/>
    <n v="7106"/>
    <n v="1900"/>
    <n v="40"/>
    <n v="0.75471698113207553"/>
  </r>
  <r>
    <s v="C617"/>
    <n v="39"/>
    <n v="47"/>
    <n v="13"/>
    <x v="0"/>
    <x v="1"/>
    <s v="QLD"/>
    <n v="7527"/>
    <n v="1900"/>
    <n v="34"/>
    <n v="0.72340425531914898"/>
  </r>
  <r>
    <s v="C335"/>
    <n v="41"/>
    <n v="54"/>
    <n v="11"/>
    <x v="0"/>
    <x v="0"/>
    <s v="QLD"/>
    <n v="58920"/>
    <n v="2500"/>
    <n v="43"/>
    <n v="0.79629629629629628"/>
  </r>
  <r>
    <s v="C224"/>
    <n v="45"/>
    <n v="54"/>
    <n v="17"/>
    <x v="1"/>
    <x v="1"/>
    <s v="WA"/>
    <n v="9567"/>
    <n v="2500"/>
    <n v="37"/>
    <n v="0.68518518518518523"/>
  </r>
  <r>
    <s v="C592"/>
    <n v="28"/>
    <n v="58"/>
    <n v="12"/>
    <x v="1"/>
    <x v="0"/>
    <s v="NSW"/>
    <n v="35672"/>
    <n v="2700"/>
    <n v="46"/>
    <n v="0.7931034482758621"/>
  </r>
  <r>
    <s v="C636"/>
    <n v="43"/>
    <n v="47"/>
    <n v="16"/>
    <x v="1"/>
    <x v="1"/>
    <s v="QLD"/>
    <n v="6708"/>
    <n v="1900"/>
    <n v="31"/>
    <n v="0.65957446808510634"/>
  </r>
  <r>
    <s v="C737"/>
    <n v="23"/>
    <n v="51"/>
    <n v="6"/>
    <x v="0"/>
    <x v="0"/>
    <s v="NSW"/>
    <n v="9510"/>
    <n v="1900"/>
    <n v="45"/>
    <n v="0.88235294117647056"/>
  </r>
  <r>
    <s v="C206"/>
    <n v="23"/>
    <n v="42"/>
    <n v="13"/>
    <x v="0"/>
    <x v="0"/>
    <s v="NSW"/>
    <n v="9864"/>
    <n v="1700"/>
    <n v="29"/>
    <n v="0.69047619047619047"/>
  </r>
  <r>
    <s v="C103"/>
    <n v="45"/>
    <n v="54"/>
    <n v="6"/>
    <x v="0"/>
    <x v="0"/>
    <s v="WA"/>
    <n v="13208"/>
    <n v="2500"/>
    <n v="48"/>
    <n v="0.88888888888888884"/>
  </r>
  <r>
    <s v="C594"/>
    <n v="40"/>
    <n v="39"/>
    <n v="7"/>
    <x v="1"/>
    <x v="1"/>
    <s v="QLD"/>
    <n v="6088"/>
    <n v="1700"/>
    <n v="32"/>
    <n v="0.82051282051282048"/>
  </r>
  <r>
    <s v="C343"/>
    <n v="45"/>
    <n v="39"/>
    <n v="6"/>
    <x v="0"/>
    <x v="1"/>
    <s v="WA"/>
    <n v="8803"/>
    <n v="1700"/>
    <n v="33"/>
    <n v="0.84615384615384615"/>
  </r>
  <r>
    <s v="C475"/>
    <n v="48"/>
    <n v="42"/>
    <n v="15"/>
    <x v="0"/>
    <x v="1"/>
    <s v="SA"/>
    <n v="6532"/>
    <n v="1700"/>
    <n v="27"/>
    <n v="0.6428571428571429"/>
  </r>
  <r>
    <s v="C685"/>
    <n v="27"/>
    <n v="47"/>
    <n v="15"/>
    <x v="0"/>
    <x v="0"/>
    <s v="NSW"/>
    <n v="8666"/>
    <n v="1900"/>
    <n v="32"/>
    <n v="0.68085106382978722"/>
  </r>
  <r>
    <s v="C779"/>
    <n v="21"/>
    <n v="53"/>
    <n v="12"/>
    <x v="0"/>
    <x v="0"/>
    <s v="NSW"/>
    <n v="8108"/>
    <n v="1900"/>
    <n v="41"/>
    <n v="0.77358490566037741"/>
  </r>
  <r>
    <s v="C195"/>
    <n v="47"/>
    <n v="41"/>
    <n v="12"/>
    <x v="1"/>
    <x v="1"/>
    <s v="SA"/>
    <n v="7584"/>
    <n v="1700"/>
    <n v="29"/>
    <n v="0.70731707317073167"/>
  </r>
  <r>
    <s v="C564"/>
    <n v="38"/>
    <n v="50"/>
    <n v="10"/>
    <x v="0"/>
    <x v="0"/>
    <s v="QLD"/>
    <n v="7054"/>
    <n v="1900"/>
    <n v="40"/>
    <n v="0.8"/>
  </r>
  <r>
    <s v="C510"/>
    <n v="32"/>
    <n v="33"/>
    <n v="5"/>
    <x v="1"/>
    <x v="1"/>
    <s v="VIC"/>
    <n v="9193"/>
    <n v="1700"/>
    <n v="28"/>
    <n v="0.84848484848484851"/>
  </r>
  <r>
    <s v="C723"/>
    <n v="40"/>
    <n v="52"/>
    <n v="7"/>
    <x v="0"/>
    <x v="0"/>
    <s v="QLD"/>
    <n v="7070"/>
    <n v="1900"/>
    <n v="45"/>
    <n v="0.86538461538461542"/>
  </r>
  <r>
    <s v="C506"/>
    <n v="37"/>
    <n v="49"/>
    <n v="11"/>
    <x v="1"/>
    <x v="0"/>
    <s v="VIC"/>
    <n v="6340"/>
    <n v="1900"/>
    <n v="38"/>
    <n v="0.77551020408163263"/>
  </r>
  <r>
    <s v="C129"/>
    <n v="25"/>
    <n v="51"/>
    <n v="13"/>
    <x v="1"/>
    <x v="0"/>
    <s v="NSW"/>
    <n v="8773"/>
    <n v="1900"/>
    <n v="38"/>
    <n v="0.74509803921568629"/>
  </r>
  <r>
    <s v="C691"/>
    <n v="38"/>
    <n v="36"/>
    <n v="8"/>
    <x v="0"/>
    <x v="1"/>
    <s v="QLD"/>
    <n v="8839"/>
    <n v="1700"/>
    <n v="28"/>
    <n v="0.77777777777777779"/>
  </r>
  <r>
    <s v="C257"/>
    <n v="43"/>
    <n v="58"/>
    <n v="8"/>
    <x v="1"/>
    <x v="0"/>
    <s v="QLD"/>
    <n v="53922"/>
    <n v="2700"/>
    <n v="50"/>
    <n v="0.86206896551724133"/>
  </r>
  <r>
    <s v="C501"/>
    <n v="31"/>
    <n v="50"/>
    <n v="9"/>
    <x v="1"/>
    <x v="0"/>
    <s v="VIC"/>
    <n v="6485"/>
    <n v="1900"/>
    <n v="41"/>
    <n v="0.82"/>
  </r>
  <r>
    <s v="C116"/>
    <n v="36"/>
    <n v="50"/>
    <n v="12"/>
    <x v="0"/>
    <x v="0"/>
    <s v="VIC"/>
    <n v="7597"/>
    <n v="1900"/>
    <n v="38"/>
    <n v="0.76"/>
  </r>
  <r>
    <s v="C184"/>
    <n v="36"/>
    <n v="46"/>
    <n v="8"/>
    <x v="0"/>
    <x v="0"/>
    <s v="VIC"/>
    <n v="9366"/>
    <n v="1900"/>
    <n v="38"/>
    <n v="0.82608695652173914"/>
  </r>
  <r>
    <s v="C581"/>
    <n v="35"/>
    <n v="52"/>
    <n v="15"/>
    <x v="1"/>
    <x v="0"/>
    <s v="VIC"/>
    <n v="9537"/>
    <n v="1900"/>
    <n v="37"/>
    <n v="0.71153846153846156"/>
  </r>
  <r>
    <s v="C453"/>
    <n v="43"/>
    <n v="28"/>
    <n v="6"/>
    <x v="1"/>
    <x v="1"/>
    <s v="WA"/>
    <n v="9147"/>
    <n v="1700"/>
    <n v="22"/>
    <n v="0.7857142857142857"/>
  </r>
  <r>
    <s v="C279"/>
    <n v="31"/>
    <n v="51"/>
    <n v="7"/>
    <x v="1"/>
    <x v="0"/>
    <s v="VIC"/>
    <n v="8184"/>
    <n v="1900"/>
    <n v="44"/>
    <n v="0.86274509803921573"/>
  </r>
  <r>
    <s v="C768"/>
    <n v="41"/>
    <n v="36"/>
    <n v="7"/>
    <x v="0"/>
    <x v="1"/>
    <s v="QLD"/>
    <n v="6470"/>
    <n v="1700"/>
    <n v="29"/>
    <n v="0.80555555555555558"/>
  </r>
  <r>
    <s v="C532"/>
    <n v="45"/>
    <n v="41"/>
    <n v="10"/>
    <x v="0"/>
    <x v="1"/>
    <s v="WA"/>
    <n v="8471"/>
    <n v="1700"/>
    <n v="31"/>
    <n v="0.75609756097560976"/>
  </r>
  <r>
    <s v="C301"/>
    <n v="25"/>
    <n v="50"/>
    <n v="16"/>
    <x v="1"/>
    <x v="0"/>
    <s v="NSW"/>
    <n v="6253"/>
    <n v="1900"/>
    <n v="34"/>
    <n v="0.68"/>
  </r>
  <r>
    <s v="C210"/>
    <n v="47"/>
    <n v="31"/>
    <n v="10"/>
    <x v="1"/>
    <x v="1"/>
    <s v="SA"/>
    <n v="7467"/>
    <n v="1700"/>
    <n v="21"/>
    <n v="0.67741935483870963"/>
  </r>
  <r>
    <s v="C735"/>
    <n v="20"/>
    <n v="48"/>
    <n v="5"/>
    <x v="1"/>
    <x v="0"/>
    <s v="NSW"/>
    <n v="9533"/>
    <n v="1900"/>
    <n v="43"/>
    <n v="0.89583333333333337"/>
  </r>
  <r>
    <s v="C684"/>
    <n v="37"/>
    <n v="46"/>
    <n v="6"/>
    <x v="0"/>
    <x v="0"/>
    <s v="VIC"/>
    <n v="7077"/>
    <n v="1900"/>
    <n v="40"/>
    <n v="0.86956521739130432"/>
  </r>
  <r>
    <s v="C665"/>
    <n v="44"/>
    <n v="34"/>
    <n v="4"/>
    <x v="1"/>
    <x v="1"/>
    <s v="WA"/>
    <n v="6916"/>
    <n v="1700"/>
    <n v="30"/>
    <n v="0.88235294117647056"/>
  </r>
  <r>
    <s v="C571"/>
    <n v="44"/>
    <n v="25"/>
    <n v="11"/>
    <x v="0"/>
    <x v="1"/>
    <s v="WA"/>
    <n v="6236"/>
    <n v="1700"/>
    <n v="14"/>
    <n v="0.56000000000000005"/>
  </r>
  <r>
    <s v="C742"/>
    <n v="27"/>
    <n v="59"/>
    <n v="10"/>
    <x v="1"/>
    <x v="0"/>
    <s v="NSW"/>
    <n v="59969"/>
    <n v="2700"/>
    <n v="49"/>
    <n v="0.83050847457627119"/>
  </r>
  <r>
    <s v="C436"/>
    <n v="23"/>
    <n v="28"/>
    <n v="13"/>
    <x v="1"/>
    <x v="1"/>
    <s v="NSW"/>
    <n v="6729"/>
    <n v="1700"/>
    <n v="15"/>
    <n v="0.5357142857142857"/>
  </r>
  <r>
    <s v="C789"/>
    <n v="36"/>
    <n v="41"/>
    <n v="11"/>
    <x v="1"/>
    <x v="1"/>
    <s v="VIC"/>
    <n v="7592"/>
    <n v="1700"/>
    <n v="30"/>
    <n v="0.73170731707317072"/>
  </r>
  <r>
    <s v="C289"/>
    <n v="37"/>
    <n v="47"/>
    <n v="11"/>
    <x v="1"/>
    <x v="1"/>
    <s v="QLD"/>
    <n v="9692"/>
    <n v="1900"/>
    <n v="36"/>
    <n v="0.76595744680851063"/>
  </r>
  <r>
    <s v="C285"/>
    <n v="28"/>
    <n v="39"/>
    <n v="10"/>
    <x v="1"/>
    <x v="0"/>
    <s v="NSW"/>
    <n v="7478"/>
    <n v="1700"/>
    <n v="29"/>
    <n v="0.74358974358974361"/>
  </r>
  <r>
    <s v="C312"/>
    <n v="46"/>
    <n v="42"/>
    <n v="6"/>
    <x v="1"/>
    <x v="1"/>
    <s v="WA"/>
    <n v="8760"/>
    <n v="1700"/>
    <n v="36"/>
    <n v="0.8571428571428571"/>
  </r>
  <r>
    <s v="C351"/>
    <n v="40"/>
    <n v="58"/>
    <n v="2"/>
    <x v="0"/>
    <x v="0"/>
    <s v="QLD"/>
    <n v="30045"/>
    <n v="2700"/>
    <n v="56"/>
    <n v="0.96551724137931039"/>
  </r>
  <r>
    <s v="C222"/>
    <n v="41"/>
    <n v="54"/>
    <n v="10"/>
    <x v="1"/>
    <x v="0"/>
    <s v="QLD"/>
    <n v="41158"/>
    <n v="2500"/>
    <n v="44"/>
    <n v="0.81481481481481477"/>
  </r>
  <r>
    <s v="C439"/>
    <n v="21"/>
    <n v="41"/>
    <n v="14"/>
    <x v="0"/>
    <x v="0"/>
    <s v="NSW"/>
    <n v="7725"/>
    <n v="1700"/>
    <n v="27"/>
    <n v="0.65853658536585369"/>
  </r>
  <r>
    <s v="C394"/>
    <n v="25"/>
    <n v="54"/>
    <n v="7"/>
    <x v="0"/>
    <x v="0"/>
    <s v="NSW"/>
    <n v="50685"/>
    <n v="2500"/>
    <n v="47"/>
    <n v="0.87037037037037035"/>
  </r>
  <r>
    <s v="C435"/>
    <n v="49"/>
    <n v="55"/>
    <n v="12"/>
    <x v="1"/>
    <x v="1"/>
    <s v="ACT"/>
    <n v="37203"/>
    <n v="2500"/>
    <n v="43"/>
    <n v="0.78181818181818186"/>
  </r>
  <r>
    <s v="C629"/>
    <n v="28"/>
    <n v="58"/>
    <n v="7"/>
    <x v="1"/>
    <x v="0"/>
    <s v="NSW"/>
    <n v="39895"/>
    <n v="2700"/>
    <n v="51"/>
    <n v="0.87931034482758619"/>
  </r>
  <r>
    <s v="C330"/>
    <n v="44"/>
    <n v="50"/>
    <n v="9"/>
    <x v="1"/>
    <x v="1"/>
    <s v="WA"/>
    <n v="8184"/>
    <n v="1900"/>
    <n v="41"/>
    <n v="0.82"/>
  </r>
  <r>
    <s v="C141"/>
    <n v="31"/>
    <n v="57"/>
    <n v="11"/>
    <x v="1"/>
    <x v="0"/>
    <s v="VIC"/>
    <n v="47067"/>
    <n v="2500"/>
    <n v="46"/>
    <n v="0.80701754385964908"/>
  </r>
  <r>
    <s v="C275"/>
    <n v="28"/>
    <n v="57"/>
    <n v="12"/>
    <x v="0"/>
    <x v="0"/>
    <s v="NSW"/>
    <n v="26646"/>
    <n v="2500"/>
    <n v="45"/>
    <n v="0.78947368421052633"/>
  </r>
  <r>
    <s v="C246"/>
    <n v="32"/>
    <n v="58"/>
    <n v="9"/>
    <x v="1"/>
    <x v="0"/>
    <s v="VIC"/>
    <n v="18146"/>
    <n v="2700"/>
    <n v="49"/>
    <n v="0.84482758620689657"/>
  </r>
  <r>
    <s v="C444"/>
    <n v="31"/>
    <n v="38"/>
    <n v="12"/>
    <x v="0"/>
    <x v="1"/>
    <s v="VIC"/>
    <n v="6164"/>
    <n v="1700"/>
    <n v="26"/>
    <n v="0.68421052631578949"/>
  </r>
  <r>
    <s v="C560"/>
    <n v="48"/>
    <n v="51"/>
    <n v="8"/>
    <x v="1"/>
    <x v="1"/>
    <s v="SA"/>
    <n v="6606"/>
    <n v="1900"/>
    <n v="43"/>
    <n v="0.84313725490196079"/>
  </r>
  <r>
    <s v="C181"/>
    <n v="50"/>
    <n v="48"/>
    <n v="10"/>
    <x v="0"/>
    <x v="1"/>
    <s v="NT"/>
    <n v="6094"/>
    <n v="1900"/>
    <n v="38"/>
    <n v="0.79166666666666663"/>
  </r>
  <r>
    <s v="C212"/>
    <n v="34"/>
    <n v="45"/>
    <n v="10"/>
    <x v="1"/>
    <x v="0"/>
    <s v="VIC"/>
    <n v="6360"/>
    <n v="1900"/>
    <n v="35"/>
    <n v="0.77777777777777779"/>
  </r>
  <r>
    <s v="C319"/>
    <n v="29"/>
    <n v="27"/>
    <n v="8"/>
    <x v="0"/>
    <x v="1"/>
    <s v="VIC"/>
    <n v="7981"/>
    <n v="1700"/>
    <n v="19"/>
    <n v="0.70370370370370372"/>
  </r>
  <r>
    <s v="C676"/>
    <n v="40"/>
    <n v="53"/>
    <n v="5"/>
    <x v="0"/>
    <x v="0"/>
    <s v="QLD"/>
    <n v="6532"/>
    <n v="1900"/>
    <n v="48"/>
    <n v="0.90566037735849059"/>
  </r>
  <r>
    <s v="C213"/>
    <n v="47"/>
    <n v="55"/>
    <n v="15"/>
    <x v="0"/>
    <x v="1"/>
    <s v="SA"/>
    <n v="57538"/>
    <n v="2500"/>
    <n v="40"/>
    <n v="0.72727272727272729"/>
  </r>
  <r>
    <s v="C598"/>
    <n v="34"/>
    <n v="38"/>
    <n v="6"/>
    <x v="0"/>
    <x v="1"/>
    <s v="VIC"/>
    <n v="7443"/>
    <n v="1700"/>
    <n v="32"/>
    <n v="0.84210526315789469"/>
  </r>
  <r>
    <s v="C376"/>
    <n v="33"/>
    <n v="40"/>
    <n v="9"/>
    <x v="1"/>
    <x v="1"/>
    <s v="VIC"/>
    <n v="9127"/>
    <n v="1700"/>
    <n v="31"/>
    <n v="0.77500000000000002"/>
  </r>
  <r>
    <s v="C527"/>
    <n v="38"/>
    <n v="26"/>
    <n v="11"/>
    <x v="0"/>
    <x v="1"/>
    <s v="QLD"/>
    <n v="6673"/>
    <n v="1700"/>
    <n v="15"/>
    <n v="0.57692307692307687"/>
  </r>
  <r>
    <s v="C727"/>
    <n v="30"/>
    <n v="29"/>
    <n v="11"/>
    <x v="0"/>
    <x v="1"/>
    <s v="VIC"/>
    <n v="6505"/>
    <n v="1700"/>
    <n v="18"/>
    <n v="0.62068965517241381"/>
  </r>
  <r>
    <s v="C795"/>
    <n v="22"/>
    <n v="29"/>
    <n v="13"/>
    <x v="0"/>
    <x v="1"/>
    <s v="NSW"/>
    <n v="7321"/>
    <n v="1700"/>
    <n v="16"/>
    <n v="0.55172413793103448"/>
  </r>
  <r>
    <s v="C667"/>
    <n v="26"/>
    <n v="40"/>
    <n v="9"/>
    <x v="0"/>
    <x v="0"/>
    <s v="NSW"/>
    <n v="7857"/>
    <n v="1700"/>
    <n v="31"/>
    <n v="0.77500000000000002"/>
  </r>
  <r>
    <s v="C451"/>
    <n v="40"/>
    <n v="41"/>
    <n v="11"/>
    <x v="1"/>
    <x v="1"/>
    <s v="QLD"/>
    <n v="8961"/>
    <n v="1700"/>
    <n v="30"/>
    <n v="0.73170731707317072"/>
  </r>
  <r>
    <s v="C563"/>
    <n v="35"/>
    <n v="31"/>
    <n v="8"/>
    <x v="1"/>
    <x v="1"/>
    <s v="VIC"/>
    <n v="6335"/>
    <n v="1700"/>
    <n v="23"/>
    <n v="0.74193548387096775"/>
  </r>
  <r>
    <s v="C490"/>
    <n v="30"/>
    <n v="52"/>
    <n v="13"/>
    <x v="0"/>
    <x v="0"/>
    <s v="VIC"/>
    <n v="8220"/>
    <n v="1900"/>
    <n v="39"/>
    <n v="0.75"/>
  </r>
  <r>
    <s v="C650"/>
    <n v="45"/>
    <n v="54"/>
    <n v="8"/>
    <x v="0"/>
    <x v="0"/>
    <s v="WA"/>
    <n v="31793"/>
    <n v="2500"/>
    <n v="46"/>
    <n v="0.85185185185185186"/>
  </r>
  <r>
    <s v="C142"/>
    <n v="45"/>
    <n v="54"/>
    <n v="7"/>
    <x v="0"/>
    <x v="0"/>
    <s v="WA"/>
    <n v="13032"/>
    <n v="2500"/>
    <n v="47"/>
    <n v="0.87037037037037035"/>
  </r>
  <r>
    <s v="C253"/>
    <n v="29"/>
    <n v="53"/>
    <n v="9"/>
    <x v="0"/>
    <x v="0"/>
    <s v="NSW"/>
    <n v="7278"/>
    <n v="1900"/>
    <n v="44"/>
    <n v="0.83018867924528306"/>
  </r>
  <r>
    <s v="C449"/>
    <n v="30"/>
    <n v="55"/>
    <n v="10"/>
    <x v="0"/>
    <x v="0"/>
    <s v="VIC"/>
    <n v="48287"/>
    <n v="2500"/>
    <n v="45"/>
    <n v="0.81818181818181823"/>
  </r>
  <r>
    <s v="C485"/>
    <n v="46"/>
    <n v="26"/>
    <n v="10"/>
    <x v="1"/>
    <x v="1"/>
    <s v="WA"/>
    <n v="6915"/>
    <n v="1700"/>
    <n v="16"/>
    <n v="0.61538461538461542"/>
  </r>
  <r>
    <s v="C135"/>
    <n v="39"/>
    <n v="44"/>
    <n v="5"/>
    <x v="1"/>
    <x v="0"/>
    <s v="QLD"/>
    <n v="6972"/>
    <n v="1700"/>
    <n v="39"/>
    <n v="0.88636363636363635"/>
  </r>
  <r>
    <s v="C417"/>
    <n v="50"/>
    <n v="48"/>
    <n v="10"/>
    <x v="1"/>
    <x v="1"/>
    <s v="NT"/>
    <n v="9217"/>
    <n v="1900"/>
    <n v="38"/>
    <n v="0.79166666666666663"/>
  </r>
  <r>
    <s v="C194"/>
    <n v="22"/>
    <n v="25"/>
    <n v="14"/>
    <x v="1"/>
    <x v="1"/>
    <s v="NSW"/>
    <n v="9881"/>
    <n v="1700"/>
    <n v="11"/>
    <n v="0.44"/>
  </r>
  <r>
    <s v="C409"/>
    <n v="24"/>
    <n v="32"/>
    <n v="9"/>
    <x v="1"/>
    <x v="1"/>
    <s v="NSW"/>
    <n v="8620"/>
    <n v="1700"/>
    <n v="23"/>
    <n v="0.71875"/>
  </r>
  <r>
    <s v="C730"/>
    <n v="20"/>
    <n v="25"/>
    <n v="8"/>
    <x v="0"/>
    <x v="1"/>
    <s v="NSW"/>
    <n v="7402"/>
    <n v="1700"/>
    <n v="17"/>
    <n v="0.68"/>
  </r>
  <r>
    <s v="C304"/>
    <n v="33"/>
    <n v="53"/>
    <n v="14"/>
    <x v="1"/>
    <x v="0"/>
    <s v="VIC"/>
    <n v="7725"/>
    <n v="1900"/>
    <n v="39"/>
    <n v="0.73584905660377353"/>
  </r>
  <r>
    <s v="C499"/>
    <n v="25"/>
    <n v="42"/>
    <n v="6"/>
    <x v="1"/>
    <x v="0"/>
    <s v="NSW"/>
    <n v="6241"/>
    <n v="1700"/>
    <n v="36"/>
    <n v="0.8571428571428571"/>
  </r>
  <r>
    <s v="C423"/>
    <n v="21"/>
    <n v="39"/>
    <n v="9"/>
    <x v="1"/>
    <x v="0"/>
    <s v="NSW"/>
    <n v="7493"/>
    <n v="1700"/>
    <n v="30"/>
    <n v="0.76923076923076927"/>
  </r>
  <r>
    <s v="C661"/>
    <n v="23"/>
    <n v="59"/>
    <n v="13"/>
    <x v="0"/>
    <x v="0"/>
    <s v="NSW"/>
    <n v="34201"/>
    <n v="2700"/>
    <n v="46"/>
    <n v="0.77966101694915257"/>
  </r>
  <r>
    <s v="C233"/>
    <n v="49"/>
    <n v="59"/>
    <n v="10"/>
    <x v="0"/>
    <x v="0"/>
    <s v="ACT"/>
    <n v="13449"/>
    <n v="2700"/>
    <n v="49"/>
    <n v="0.83050847457627119"/>
  </r>
  <r>
    <s v="C228"/>
    <n v="35"/>
    <n v="27"/>
    <n v="7"/>
    <x v="0"/>
    <x v="1"/>
    <s v="VIC"/>
    <n v="9782"/>
    <n v="1700"/>
    <n v="20"/>
    <n v="0.7407407407407407"/>
  </r>
  <r>
    <s v="C509"/>
    <n v="34"/>
    <n v="54"/>
    <n v="11"/>
    <x v="0"/>
    <x v="0"/>
    <s v="VIC"/>
    <n v="24928"/>
    <n v="2500"/>
    <n v="43"/>
    <n v="0.79629629629629628"/>
  </r>
  <r>
    <s v="C488"/>
    <n v="47"/>
    <n v="37"/>
    <n v="14"/>
    <x v="1"/>
    <x v="1"/>
    <s v="WA"/>
    <n v="9763"/>
    <n v="1700"/>
    <n v="23"/>
    <n v="0.6216216216216216"/>
  </r>
  <r>
    <s v="C146"/>
    <n v="25"/>
    <n v="30"/>
    <n v="16"/>
    <x v="0"/>
    <x v="1"/>
    <s v="NSW"/>
    <n v="8898"/>
    <n v="1700"/>
    <n v="14"/>
    <n v="0.46666666666666667"/>
  </r>
  <r>
    <s v="C268"/>
    <n v="41"/>
    <n v="46"/>
    <n v="12"/>
    <x v="1"/>
    <x v="1"/>
    <s v="QLD"/>
    <n v="7137"/>
    <n v="1900"/>
    <n v="34"/>
    <n v="0.73913043478260865"/>
  </r>
  <r>
    <s v="C389"/>
    <n v="21"/>
    <n v="54"/>
    <n v="15"/>
    <x v="1"/>
    <x v="0"/>
    <s v="NSW"/>
    <n v="44797"/>
    <n v="2500"/>
    <n v="39"/>
    <n v="0.72222222222222221"/>
  </r>
  <r>
    <s v="C788"/>
    <n v="31"/>
    <n v="56"/>
    <n v="10"/>
    <x v="1"/>
    <x v="0"/>
    <s v="VIC"/>
    <n v="48772"/>
    <n v="2500"/>
    <n v="46"/>
    <n v="0.8214285714285714"/>
  </r>
  <r>
    <s v="C534"/>
    <n v="30"/>
    <n v="37"/>
    <n v="5"/>
    <x v="0"/>
    <x v="0"/>
    <s v="VIC"/>
    <n v="8559"/>
    <n v="1700"/>
    <n v="32"/>
    <n v="0.86486486486486491"/>
  </r>
  <r>
    <s v="C513"/>
    <n v="48"/>
    <n v="36"/>
    <n v="17"/>
    <x v="1"/>
    <x v="1"/>
    <s v="SA"/>
    <n v="6629"/>
    <n v="1700"/>
    <n v="19"/>
    <n v="0.52777777777777779"/>
  </r>
  <r>
    <s v="C165"/>
    <n v="37"/>
    <n v="42"/>
    <n v="15"/>
    <x v="1"/>
    <x v="1"/>
    <s v="QLD"/>
    <n v="9093"/>
    <n v="1700"/>
    <n v="27"/>
    <n v="0.6428571428571429"/>
  </r>
  <r>
    <s v="C241"/>
    <n v="26"/>
    <n v="46"/>
    <n v="10"/>
    <x v="0"/>
    <x v="0"/>
    <s v="NSW"/>
    <n v="6853"/>
    <n v="1900"/>
    <n v="36"/>
    <n v="0.78260869565217395"/>
  </r>
  <r>
    <s v="C559"/>
    <n v="29"/>
    <n v="32"/>
    <n v="8"/>
    <x v="1"/>
    <x v="1"/>
    <s v="VIC"/>
    <n v="7756"/>
    <n v="1700"/>
    <n v="24"/>
    <n v="0.75"/>
  </r>
  <r>
    <s v="C448"/>
    <n v="24"/>
    <n v="39"/>
    <n v="7"/>
    <x v="1"/>
    <x v="0"/>
    <s v="NSW"/>
    <n v="6084"/>
    <n v="1700"/>
    <n v="32"/>
    <n v="0.82051282051282048"/>
  </r>
  <r>
    <s v="C466"/>
    <n v="43"/>
    <n v="54"/>
    <n v="12"/>
    <x v="1"/>
    <x v="1"/>
    <s v="WA"/>
    <n v="10938"/>
    <n v="2500"/>
    <n v="42"/>
    <n v="0.77777777777777779"/>
  </r>
  <r>
    <s v="C530"/>
    <n v="40"/>
    <n v="29"/>
    <n v="14"/>
    <x v="1"/>
    <x v="1"/>
    <s v="QLD"/>
    <n v="6075"/>
    <n v="1700"/>
    <n v="15"/>
    <n v="0.51724137931034486"/>
  </r>
  <r>
    <s v="C471"/>
    <n v="29"/>
    <n v="46"/>
    <n v="8"/>
    <x v="0"/>
    <x v="0"/>
    <s v="NSW"/>
    <n v="8436"/>
    <n v="1900"/>
    <n v="38"/>
    <n v="0.82608695652173914"/>
  </r>
  <r>
    <s v="C525"/>
    <n v="22"/>
    <n v="60"/>
    <n v="11"/>
    <x v="0"/>
    <x v="0"/>
    <s v="NSW"/>
    <n v="8997"/>
    <n v="2700"/>
    <n v="49"/>
    <n v="0.81666666666666665"/>
  </r>
  <r>
    <s v="C496"/>
    <n v="30"/>
    <n v="35"/>
    <n v="11"/>
    <x v="0"/>
    <x v="1"/>
    <s v="VIC"/>
    <n v="9275"/>
    <n v="1700"/>
    <n v="24"/>
    <n v="0.68571428571428572"/>
  </r>
  <r>
    <s v="C710"/>
    <n v="50"/>
    <n v="29"/>
    <n v="13"/>
    <x v="1"/>
    <x v="1"/>
    <s v="NT"/>
    <n v="7156"/>
    <n v="1700"/>
    <n v="16"/>
    <n v="0.55172413793103448"/>
  </r>
  <r>
    <s v="C323"/>
    <n v="43"/>
    <n v="48"/>
    <n v="8"/>
    <x v="0"/>
    <x v="1"/>
    <s v="WA"/>
    <n v="7239"/>
    <n v="1900"/>
    <n v="40"/>
    <n v="0.83333333333333337"/>
  </r>
  <r>
    <s v="C728"/>
    <n v="42"/>
    <n v="42"/>
    <n v="11"/>
    <x v="1"/>
    <x v="1"/>
    <s v="QLD"/>
    <n v="7706"/>
    <n v="1700"/>
    <n v="31"/>
    <n v="0.73809523809523814"/>
  </r>
  <r>
    <s v="C229"/>
    <n v="46"/>
    <n v="44"/>
    <n v="10"/>
    <x v="0"/>
    <x v="1"/>
    <s v="WA"/>
    <n v="8127"/>
    <n v="1700"/>
    <n v="34"/>
    <n v="0.77272727272727271"/>
  </r>
  <r>
    <s v="C774"/>
    <n v="48"/>
    <n v="25"/>
    <n v="7"/>
    <x v="1"/>
    <x v="1"/>
    <s v="SA"/>
    <n v="6503"/>
    <n v="1700"/>
    <n v="18"/>
    <n v="0.72"/>
  </r>
  <r>
    <s v="C446"/>
    <n v="24"/>
    <n v="32"/>
    <n v="6"/>
    <x v="1"/>
    <x v="0"/>
    <s v="NSW"/>
    <n v="9703"/>
    <n v="1700"/>
    <n v="26"/>
    <n v="0.8125"/>
  </r>
  <r>
    <s v="C175"/>
    <n v="46"/>
    <n v="32"/>
    <n v="14"/>
    <x v="0"/>
    <x v="1"/>
    <s v="WA"/>
    <n v="9290"/>
    <n v="1700"/>
    <n v="18"/>
    <n v="0.5625"/>
  </r>
  <r>
    <s v="C655"/>
    <n v="27"/>
    <n v="49"/>
    <n v="12"/>
    <x v="0"/>
    <x v="0"/>
    <s v="NSW"/>
    <n v="7472"/>
    <n v="1900"/>
    <n v="37"/>
    <n v="0.75510204081632648"/>
  </r>
  <r>
    <s v="C310"/>
    <n v="44"/>
    <n v="26"/>
    <n v="4"/>
    <x v="0"/>
    <x v="1"/>
    <s v="WA"/>
    <n v="9513"/>
    <n v="1700"/>
    <n v="22"/>
    <n v="0.84615384615384615"/>
  </r>
  <r>
    <s v="C750"/>
    <n v="33"/>
    <n v="34"/>
    <n v="11"/>
    <x v="1"/>
    <x v="1"/>
    <s v="VIC"/>
    <n v="6161"/>
    <n v="1700"/>
    <n v="23"/>
    <n v="0.67647058823529416"/>
  </r>
  <r>
    <s v="C214"/>
    <n v="42"/>
    <n v="57"/>
    <n v="10"/>
    <x v="0"/>
    <x v="0"/>
    <s v="QLD"/>
    <n v="23473"/>
    <n v="2500"/>
    <n v="47"/>
    <n v="0.82456140350877194"/>
  </r>
  <r>
    <s v="C729"/>
    <n v="48"/>
    <n v="39"/>
    <n v="5"/>
    <x v="0"/>
    <x v="1"/>
    <s v="SA"/>
    <n v="7553"/>
    <n v="1700"/>
    <n v="34"/>
    <n v="0.87179487179487181"/>
  </r>
  <r>
    <s v="C626"/>
    <n v="30"/>
    <n v="40"/>
    <n v="6"/>
    <x v="0"/>
    <x v="0"/>
    <s v="VIC"/>
    <n v="9029"/>
    <n v="1700"/>
    <n v="34"/>
    <n v="0.85"/>
  </r>
  <r>
    <s v="C670"/>
    <n v="46"/>
    <n v="25"/>
    <n v="8"/>
    <x v="1"/>
    <x v="1"/>
    <s v="WA"/>
    <n v="7533"/>
    <n v="1700"/>
    <n v="17"/>
    <n v="0.68"/>
  </r>
  <r>
    <s v="C599"/>
    <n v="47"/>
    <n v="52"/>
    <n v="6"/>
    <x v="1"/>
    <x v="1"/>
    <s v="SA"/>
    <n v="7052"/>
    <n v="1900"/>
    <n v="46"/>
    <n v="0.88461538461538458"/>
  </r>
  <r>
    <s v="C518"/>
    <n v="45"/>
    <n v="43"/>
    <n v="11"/>
    <x v="0"/>
    <x v="1"/>
    <s v="WA"/>
    <n v="6296"/>
    <n v="1700"/>
    <n v="32"/>
    <n v="0.7441860465116279"/>
  </r>
  <r>
    <s v="C372"/>
    <n v="37"/>
    <n v="42"/>
    <n v="13"/>
    <x v="1"/>
    <x v="1"/>
    <s v="VIC"/>
    <n v="7151"/>
    <n v="1700"/>
    <n v="29"/>
    <n v="0.69047619047619047"/>
  </r>
  <r>
    <s v="C109"/>
    <n v="34"/>
    <n v="58"/>
    <n v="8"/>
    <x v="1"/>
    <x v="0"/>
    <s v="VIC"/>
    <n v="47242"/>
    <n v="2700"/>
    <n v="50"/>
    <n v="0.86206896551724133"/>
  </r>
  <r>
    <s v="C498"/>
    <n v="29"/>
    <n v="41"/>
    <n v="12"/>
    <x v="0"/>
    <x v="0"/>
    <s v="VIC"/>
    <n v="6929"/>
    <n v="1700"/>
    <n v="29"/>
    <n v="0.70731707317073167"/>
  </r>
  <r>
    <s v="C512"/>
    <n v="49"/>
    <n v="43"/>
    <n v="9"/>
    <x v="1"/>
    <x v="1"/>
    <s v="ACT"/>
    <n v="8112"/>
    <n v="1700"/>
    <n v="34"/>
    <n v="0.79069767441860461"/>
  </r>
  <r>
    <s v="C390"/>
    <n v="28"/>
    <n v="56"/>
    <n v="8"/>
    <x v="0"/>
    <x v="0"/>
    <s v="NSW"/>
    <n v="22619"/>
    <n v="2500"/>
    <n v="48"/>
    <n v="0.8571428571428571"/>
  </r>
  <r>
    <s v="C283"/>
    <n v="29"/>
    <n v="36"/>
    <n v="5"/>
    <x v="1"/>
    <x v="0"/>
    <s v="VIC"/>
    <n v="6080"/>
    <n v="1700"/>
    <n v="31"/>
    <n v="0.86111111111111116"/>
  </r>
  <r>
    <s v="C793"/>
    <n v="39"/>
    <n v="40"/>
    <n v="8"/>
    <x v="0"/>
    <x v="1"/>
    <s v="QLD"/>
    <n v="6719"/>
    <n v="1700"/>
    <n v="32"/>
    <n v="0.8"/>
  </r>
  <r>
    <s v="C387"/>
    <n v="25"/>
    <n v="54"/>
    <n v="2"/>
    <x v="1"/>
    <x v="0"/>
    <s v="NSW"/>
    <n v="37886"/>
    <n v="2500"/>
    <n v="52"/>
    <n v="0.96296296296296291"/>
  </r>
  <r>
    <s v="C260"/>
    <n v="46"/>
    <n v="34"/>
    <n v="10"/>
    <x v="0"/>
    <x v="1"/>
    <s v="WA"/>
    <n v="6586"/>
    <n v="1700"/>
    <n v="24"/>
    <n v="0.70588235294117652"/>
  </r>
  <r>
    <s v="C568"/>
    <n v="31"/>
    <n v="34"/>
    <n v="8"/>
    <x v="1"/>
    <x v="1"/>
    <s v="VIC"/>
    <n v="8700"/>
    <n v="1700"/>
    <n v="26"/>
    <n v="0.76470588235294112"/>
  </r>
  <r>
    <s v="C677"/>
    <n v="28"/>
    <n v="41"/>
    <n v="11"/>
    <x v="0"/>
    <x v="0"/>
    <s v="NSW"/>
    <n v="8225"/>
    <n v="1700"/>
    <n v="30"/>
    <n v="0.73170731707317072"/>
  </r>
  <r>
    <s v="C183"/>
    <n v="21"/>
    <n v="31"/>
    <n v="9"/>
    <x v="0"/>
    <x v="0"/>
    <s v="NSW"/>
    <n v="7524"/>
    <n v="1700"/>
    <n v="22"/>
    <n v="0.70967741935483875"/>
  </r>
  <r>
    <s v="C292"/>
    <n v="21"/>
    <n v="55"/>
    <n v="14"/>
    <x v="1"/>
    <x v="0"/>
    <s v="NSW"/>
    <n v="54073"/>
    <n v="2500"/>
    <n v="41"/>
    <n v="0.74545454545454548"/>
  </r>
  <r>
    <s v="C421"/>
    <n v="38"/>
    <n v="53"/>
    <n v="9"/>
    <x v="1"/>
    <x v="0"/>
    <s v="QLD"/>
    <n v="7607"/>
    <n v="1900"/>
    <n v="44"/>
    <n v="0.83018867924528306"/>
  </r>
  <r>
    <s v="C101"/>
    <n v="37"/>
    <n v="55"/>
    <n v="5"/>
    <x v="1"/>
    <x v="0"/>
    <s v="QLD"/>
    <n v="32908"/>
    <n v="2500"/>
    <n v="50"/>
    <n v="0.90909090909090906"/>
  </r>
  <r>
    <s v="C618"/>
    <n v="45"/>
    <n v="33"/>
    <n v="9"/>
    <x v="0"/>
    <x v="1"/>
    <s v="WA"/>
    <n v="7903"/>
    <n v="1700"/>
    <n v="24"/>
    <n v="0.72727272727272729"/>
  </r>
  <r>
    <s v="C259"/>
    <n v="30"/>
    <n v="46"/>
    <n v="15"/>
    <x v="0"/>
    <x v="0"/>
    <s v="VIC"/>
    <n v="6223"/>
    <n v="1900"/>
    <n v="31"/>
    <n v="0.67391304347826086"/>
  </r>
  <r>
    <s v="C704"/>
    <n v="37"/>
    <n v="28"/>
    <n v="13"/>
    <x v="1"/>
    <x v="1"/>
    <s v="QLD"/>
    <n v="8133"/>
    <n v="1700"/>
    <n v="15"/>
    <n v="0.5357142857142857"/>
  </r>
  <r>
    <s v="C370"/>
    <n v="39"/>
    <n v="46"/>
    <n v="12"/>
    <x v="1"/>
    <x v="1"/>
    <s v="QLD"/>
    <n v="9707"/>
    <n v="1900"/>
    <n v="34"/>
    <n v="0.73913043478260865"/>
  </r>
  <r>
    <s v="C130"/>
    <n v="42"/>
    <n v="59"/>
    <n v="5"/>
    <x v="0"/>
    <x v="0"/>
    <s v="QLD"/>
    <n v="44789"/>
    <n v="2700"/>
    <n v="54"/>
    <n v="0.9152542372881356"/>
  </r>
  <r>
    <s v="C305"/>
    <n v="20"/>
    <n v="28"/>
    <n v="12"/>
    <x v="0"/>
    <x v="1"/>
    <s v="NSW"/>
    <n v="8966"/>
    <n v="1700"/>
    <n v="16"/>
    <n v="0.5714285714285714"/>
  </r>
  <r>
    <s v="C337"/>
    <n v="46"/>
    <n v="31"/>
    <n v="7"/>
    <x v="1"/>
    <x v="1"/>
    <s v="WA"/>
    <n v="8507"/>
    <n v="1700"/>
    <n v="24"/>
    <n v="0.77419354838709675"/>
  </r>
  <r>
    <s v="C541"/>
    <n v="42"/>
    <n v="50"/>
    <n v="6"/>
    <x v="0"/>
    <x v="0"/>
    <s v="QLD"/>
    <n v="9012"/>
    <n v="1900"/>
    <n v="44"/>
    <n v="0.88"/>
  </r>
  <r>
    <s v="C291"/>
    <n v="23"/>
    <n v="30"/>
    <n v="9"/>
    <x v="0"/>
    <x v="1"/>
    <s v="NSW"/>
    <n v="9410"/>
    <n v="1700"/>
    <n v="21"/>
    <n v="0.7"/>
  </r>
  <r>
    <s v="C714"/>
    <n v="20"/>
    <n v="36"/>
    <n v="6"/>
    <x v="0"/>
    <x v="0"/>
    <s v="NSW"/>
    <n v="9691"/>
    <n v="1700"/>
    <n v="30"/>
    <n v="0.83333333333333337"/>
  </r>
  <r>
    <s v="C115"/>
    <n v="40"/>
    <n v="54"/>
    <n v="11"/>
    <x v="0"/>
    <x v="0"/>
    <s v="QLD"/>
    <n v="18261"/>
    <n v="2500"/>
    <n v="43"/>
    <n v="0.79629629629629628"/>
  </r>
  <r>
    <s v="C133"/>
    <n v="34"/>
    <n v="37"/>
    <n v="11"/>
    <x v="0"/>
    <x v="1"/>
    <s v="VIC"/>
    <n v="8143"/>
    <n v="1700"/>
    <n v="26"/>
    <n v="0.70270270270270274"/>
  </r>
  <r>
    <s v="C179"/>
    <n v="34"/>
    <n v="35"/>
    <n v="10"/>
    <x v="0"/>
    <x v="1"/>
    <s v="VIC"/>
    <n v="8436"/>
    <n v="1700"/>
    <n v="25"/>
    <n v="0.7142857142857143"/>
  </r>
  <r>
    <s v="C367"/>
    <n v="36"/>
    <n v="54"/>
    <n v="15"/>
    <x v="1"/>
    <x v="0"/>
    <s v="VIC"/>
    <n v="43162"/>
    <n v="2500"/>
    <n v="39"/>
    <n v="0.72222222222222221"/>
  </r>
  <r>
    <s v="C216"/>
    <n v="45"/>
    <n v="51"/>
    <n v="13"/>
    <x v="0"/>
    <x v="1"/>
    <s v="WA"/>
    <n v="7665"/>
    <n v="1900"/>
    <n v="38"/>
    <n v="0.74509803921568629"/>
  </r>
  <r>
    <s v="C587"/>
    <n v="38"/>
    <n v="51"/>
    <n v="10"/>
    <x v="1"/>
    <x v="0"/>
    <s v="QLD"/>
    <n v="6531"/>
    <n v="1900"/>
    <n v="41"/>
    <n v="0.80392156862745101"/>
  </r>
  <r>
    <s v="C327"/>
    <n v="34"/>
    <n v="34"/>
    <n v="14"/>
    <x v="1"/>
    <x v="1"/>
    <s v="VIC"/>
    <n v="7692"/>
    <n v="1700"/>
    <n v="20"/>
    <n v="0.58823529411764708"/>
  </r>
  <r>
    <s v="C610"/>
    <n v="24"/>
    <n v="50"/>
    <n v="13"/>
    <x v="1"/>
    <x v="0"/>
    <s v="NSW"/>
    <n v="8824"/>
    <n v="1900"/>
    <n v="37"/>
    <n v="0.74"/>
  </r>
  <r>
    <s v="C306"/>
    <n v="38"/>
    <n v="28"/>
    <n v="11"/>
    <x v="1"/>
    <x v="1"/>
    <s v="QLD"/>
    <n v="8733"/>
    <n v="1700"/>
    <n v="17"/>
    <n v="0.6071428571428571"/>
  </r>
  <r>
    <s v="C408"/>
    <n v="42"/>
    <n v="38"/>
    <n v="10"/>
    <x v="0"/>
    <x v="1"/>
    <s v="QLD"/>
    <n v="9346"/>
    <n v="1700"/>
    <n v="28"/>
    <n v="0.73684210526315785"/>
  </r>
  <r>
    <s v="C132"/>
    <n v="27"/>
    <n v="34"/>
    <n v="10"/>
    <x v="0"/>
    <x v="1"/>
    <s v="NSW"/>
    <n v="7867"/>
    <n v="1700"/>
    <n v="24"/>
    <n v="0.70588235294117652"/>
  </r>
  <r>
    <s v="C657"/>
    <n v="39"/>
    <n v="26"/>
    <n v="7"/>
    <x v="0"/>
    <x v="1"/>
    <s v="QLD"/>
    <n v="6016"/>
    <n v="1700"/>
    <n v="19"/>
    <n v="0.73076923076923073"/>
  </r>
  <r>
    <s v="C659"/>
    <n v="44"/>
    <n v="28"/>
    <n v="9"/>
    <x v="1"/>
    <x v="1"/>
    <s v="WA"/>
    <n v="7193"/>
    <n v="1700"/>
    <n v="19"/>
    <n v="0.6785714285714286"/>
  </r>
  <r>
    <s v="C136"/>
    <n v="48"/>
    <n v="46"/>
    <n v="8"/>
    <x v="1"/>
    <x v="1"/>
    <s v="SA"/>
    <n v="8941"/>
    <n v="1900"/>
    <n v="38"/>
    <n v="0.82608695652173914"/>
  </r>
  <r>
    <s v="C633"/>
    <n v="43"/>
    <n v="57"/>
    <n v="12"/>
    <x v="0"/>
    <x v="0"/>
    <s v="QLD"/>
    <n v="41466"/>
    <n v="2500"/>
    <n v="45"/>
    <n v="0.78947368421052633"/>
  </r>
  <r>
    <s v="C168"/>
    <n v="34"/>
    <n v="28"/>
    <n v="7"/>
    <x v="0"/>
    <x v="1"/>
    <s v="VIC"/>
    <n v="8667"/>
    <n v="1700"/>
    <n v="21"/>
    <n v="0.75"/>
  </r>
  <r>
    <s v="C180"/>
    <n v="44"/>
    <n v="25"/>
    <n v="7"/>
    <x v="1"/>
    <x v="1"/>
    <s v="WA"/>
    <n v="8195"/>
    <n v="1700"/>
    <n v="18"/>
    <n v="0.72"/>
  </r>
  <r>
    <s v="C622"/>
    <n v="28"/>
    <n v="50"/>
    <n v="15"/>
    <x v="0"/>
    <x v="0"/>
    <s v="NSW"/>
    <n v="9297"/>
    <n v="1900"/>
    <n v="35"/>
    <n v="0.7"/>
  </r>
  <r>
    <s v="C440"/>
    <n v="43"/>
    <n v="49"/>
    <n v="11"/>
    <x v="0"/>
    <x v="1"/>
    <s v="QLD"/>
    <n v="6080"/>
    <n v="1900"/>
    <n v="38"/>
    <n v="0.77551020408163263"/>
  </r>
  <r>
    <s v="C339"/>
    <n v="48"/>
    <n v="46"/>
    <n v="7"/>
    <x v="0"/>
    <x v="1"/>
    <s v="SA"/>
    <n v="8930"/>
    <n v="1900"/>
    <n v="39"/>
    <n v="0.84782608695652173"/>
  </r>
  <r>
    <s v="C364"/>
    <n v="35"/>
    <n v="32"/>
    <n v="7"/>
    <x v="1"/>
    <x v="1"/>
    <s v="VIC"/>
    <n v="9405"/>
    <n v="1700"/>
    <n v="25"/>
    <n v="0.78125"/>
  </r>
  <r>
    <s v="C375"/>
    <n v="32"/>
    <n v="34"/>
    <n v="8"/>
    <x v="1"/>
    <x v="1"/>
    <s v="VIC"/>
    <n v="9959"/>
    <n v="1700"/>
    <n v="26"/>
    <n v="0.76470588235294112"/>
  </r>
  <r>
    <s v="C332"/>
    <n v="50"/>
    <n v="31"/>
    <n v="8"/>
    <x v="0"/>
    <x v="1"/>
    <s v="TAS"/>
    <n v="8427"/>
    <n v="1700"/>
    <n v="23"/>
    <n v="0.74193548387096775"/>
  </r>
  <r>
    <s v="C189"/>
    <n v="35"/>
    <n v="41"/>
    <n v="16"/>
    <x v="0"/>
    <x v="1"/>
    <s v="VIC"/>
    <n v="8523"/>
    <n v="1700"/>
    <n v="25"/>
    <n v="0.6097560975609756"/>
  </r>
  <r>
    <s v="C170"/>
    <n v="31"/>
    <n v="28"/>
    <n v="4"/>
    <x v="0"/>
    <x v="1"/>
    <s v="VIC"/>
    <n v="6254"/>
    <n v="1700"/>
    <n v="24"/>
    <n v="0.8571428571428571"/>
  </r>
  <r>
    <s v="C381"/>
    <n v="21"/>
    <n v="46"/>
    <n v="14"/>
    <x v="1"/>
    <x v="0"/>
    <s v="NSW"/>
    <n v="8370"/>
    <n v="1900"/>
    <n v="32"/>
    <n v="0.69565217391304346"/>
  </r>
  <r>
    <s v="C412"/>
    <n v="32"/>
    <n v="34"/>
    <n v="8"/>
    <x v="1"/>
    <x v="1"/>
    <s v="VIC"/>
    <n v="8110"/>
    <n v="1700"/>
    <n v="26"/>
    <n v="0.76470588235294112"/>
  </r>
  <r>
    <s v="C799"/>
    <n v="34"/>
    <n v="58"/>
    <n v="10"/>
    <x v="1"/>
    <x v="0"/>
    <s v="VIC"/>
    <n v="11967"/>
    <n v="2700"/>
    <n v="48"/>
    <n v="0.82758620689655171"/>
  </r>
  <r>
    <s v="C537"/>
    <n v="24"/>
    <n v="42"/>
    <n v="14"/>
    <x v="1"/>
    <x v="0"/>
    <s v="NSW"/>
    <n v="8651"/>
    <n v="1700"/>
    <n v="28"/>
    <n v="0.66666666666666663"/>
  </r>
  <r>
    <s v="C159"/>
    <n v="37"/>
    <n v="53"/>
    <n v="13"/>
    <x v="1"/>
    <x v="0"/>
    <s v="VIC"/>
    <n v="7441"/>
    <n v="1900"/>
    <n v="40"/>
    <n v="0.75471698113207553"/>
  </r>
  <r>
    <s v="C176"/>
    <n v="21"/>
    <n v="40"/>
    <n v="13"/>
    <x v="1"/>
    <x v="0"/>
    <s v="NSW"/>
    <n v="9395"/>
    <n v="1700"/>
    <n v="27"/>
    <n v="0.67500000000000004"/>
  </r>
  <r>
    <s v="C243"/>
    <n v="40"/>
    <n v="60"/>
    <n v="14"/>
    <x v="1"/>
    <x v="0"/>
    <s v="QLD"/>
    <n v="35842"/>
    <n v="2700"/>
    <n v="46"/>
    <n v="0.76666666666666672"/>
  </r>
  <r>
    <s v="C635"/>
    <n v="36"/>
    <n v="60"/>
    <n v="8"/>
    <x v="0"/>
    <x v="0"/>
    <s v="VIC"/>
    <n v="27982"/>
    <n v="2700"/>
    <n v="52"/>
    <n v="0.8666666666666667"/>
  </r>
  <r>
    <s v="C225"/>
    <n v="40"/>
    <n v="36"/>
    <n v="12"/>
    <x v="1"/>
    <x v="1"/>
    <s v="QLD"/>
    <n v="6793"/>
    <n v="1700"/>
    <n v="24"/>
    <n v="0.66666666666666663"/>
  </r>
  <r>
    <s v="C126"/>
    <n v="44"/>
    <n v="29"/>
    <n v="13"/>
    <x v="1"/>
    <x v="1"/>
    <s v="WA"/>
    <n v="6633"/>
    <n v="1700"/>
    <n v="16"/>
    <n v="0.55172413793103448"/>
  </r>
  <r>
    <s v="C428"/>
    <n v="21"/>
    <n v="35"/>
    <n v="13"/>
    <x v="1"/>
    <x v="0"/>
    <s v="NSW"/>
    <n v="6107"/>
    <n v="1700"/>
    <n v="22"/>
    <n v="0.62857142857142856"/>
  </r>
  <r>
    <s v="C651"/>
    <n v="20"/>
    <n v="59"/>
    <n v="8"/>
    <x v="1"/>
    <x v="0"/>
    <s v="NSW"/>
    <n v="40204"/>
    <n v="2700"/>
    <n v="51"/>
    <n v="0.86440677966101698"/>
  </r>
  <r>
    <s v="C398"/>
    <n v="37"/>
    <n v="40"/>
    <n v="9"/>
    <x v="1"/>
    <x v="1"/>
    <s v="QLD"/>
    <n v="8798"/>
    <n v="1700"/>
    <n v="31"/>
    <n v="0.77500000000000002"/>
  </r>
  <r>
    <s v="C250"/>
    <n v="39"/>
    <n v="55"/>
    <n v="13"/>
    <x v="0"/>
    <x v="0"/>
    <s v="QLD"/>
    <n v="22047"/>
    <n v="2500"/>
    <n v="42"/>
    <n v="0.76363636363636367"/>
  </r>
  <r>
    <s v="C402"/>
    <n v="26"/>
    <n v="29"/>
    <n v="17"/>
    <x v="1"/>
    <x v="1"/>
    <s v="NSW"/>
    <n v="8362"/>
    <n v="1700"/>
    <n v="12"/>
    <n v="0.41379310344827586"/>
  </r>
  <r>
    <s v="C734"/>
    <n v="28"/>
    <n v="32"/>
    <n v="16"/>
    <x v="1"/>
    <x v="1"/>
    <s v="NSW"/>
    <n v="7119"/>
    <n v="1700"/>
    <n v="16"/>
    <n v="0.5"/>
  </r>
  <r>
    <s v="C191"/>
    <n v="30"/>
    <n v="30"/>
    <n v="7"/>
    <x v="0"/>
    <x v="1"/>
    <s v="VIC"/>
    <n v="7882"/>
    <n v="1700"/>
    <n v="23"/>
    <n v="0.76666666666666672"/>
  </r>
  <r>
    <s v="C668"/>
    <n v="34"/>
    <n v="29"/>
    <n v="4"/>
    <x v="0"/>
    <x v="1"/>
    <s v="VIC"/>
    <n v="6433"/>
    <n v="1700"/>
    <n v="25"/>
    <n v="0.86206896551724133"/>
  </r>
  <r>
    <s v="C740"/>
    <n v="39"/>
    <n v="44"/>
    <n v="8"/>
    <x v="0"/>
    <x v="1"/>
    <s v="QLD"/>
    <n v="9685"/>
    <n v="1700"/>
    <n v="36"/>
    <n v="0.81818181818181823"/>
  </r>
  <r>
    <s v="C479"/>
    <n v="47"/>
    <n v="34"/>
    <n v="12"/>
    <x v="0"/>
    <x v="1"/>
    <s v="SA"/>
    <n v="8279"/>
    <n v="1700"/>
    <n v="22"/>
    <n v="0.6470588235294118"/>
  </r>
  <r>
    <s v="C211"/>
    <n v="27"/>
    <n v="32"/>
    <n v="8"/>
    <x v="1"/>
    <x v="1"/>
    <s v="NSW"/>
    <n v="9555"/>
    <n v="1700"/>
    <n v="24"/>
    <n v="0.75"/>
  </r>
  <r>
    <s v="C190"/>
    <n v="46"/>
    <n v="41"/>
    <n v="10"/>
    <x v="0"/>
    <x v="1"/>
    <s v="WA"/>
    <n v="6908"/>
    <n v="1700"/>
    <n v="31"/>
    <n v="0.75609756097560976"/>
  </r>
  <r>
    <s v="C683"/>
    <n v="42"/>
    <n v="49"/>
    <n v="14"/>
    <x v="0"/>
    <x v="1"/>
    <s v="QLD"/>
    <n v="9122"/>
    <n v="1900"/>
    <n v="35"/>
    <n v="0.7142857142857143"/>
  </r>
  <r>
    <s v="C613"/>
    <n v="43"/>
    <n v="56"/>
    <n v="9"/>
    <x v="1"/>
    <x v="0"/>
    <s v="QLD"/>
    <n v="35760"/>
    <n v="2500"/>
    <n v="47"/>
    <n v="0.8392857142857143"/>
  </r>
  <r>
    <s v="C468"/>
    <n v="24"/>
    <n v="59"/>
    <n v="13"/>
    <x v="1"/>
    <x v="0"/>
    <s v="NSW"/>
    <n v="25777"/>
    <n v="2700"/>
    <n v="46"/>
    <n v="0.77966101694915257"/>
  </r>
  <r>
    <s v="C186"/>
    <n v="42"/>
    <n v="34"/>
    <n v="10"/>
    <x v="1"/>
    <x v="1"/>
    <s v="QLD"/>
    <n v="8004"/>
    <n v="1700"/>
    <n v="24"/>
    <n v="0.70588235294117652"/>
  </r>
  <r>
    <s v="C575"/>
    <n v="46"/>
    <n v="42"/>
    <n v="11"/>
    <x v="0"/>
    <x v="1"/>
    <s v="WA"/>
    <n v="6027"/>
    <n v="1700"/>
    <n v="31"/>
    <n v="0.73809523809523814"/>
  </r>
  <r>
    <s v="C322"/>
    <n v="28"/>
    <n v="35"/>
    <n v="9"/>
    <x v="0"/>
    <x v="1"/>
    <s v="NSW"/>
    <n v="7453"/>
    <n v="1700"/>
    <n v="26"/>
    <n v="0.74285714285714288"/>
  </r>
  <r>
    <s v="C585"/>
    <n v="44"/>
    <n v="43"/>
    <n v="10"/>
    <x v="1"/>
    <x v="1"/>
    <s v="WA"/>
    <n v="7006"/>
    <n v="1700"/>
    <n v="33"/>
    <n v="0.76744186046511631"/>
  </r>
  <r>
    <s v="C749"/>
    <n v="46"/>
    <n v="27"/>
    <n v="10"/>
    <x v="1"/>
    <x v="1"/>
    <s v="WA"/>
    <n v="6951"/>
    <n v="1700"/>
    <n v="17"/>
    <n v="0.62962962962962965"/>
  </r>
  <r>
    <s v="C473"/>
    <n v="26"/>
    <n v="36"/>
    <n v="8"/>
    <x v="0"/>
    <x v="0"/>
    <s v="NSW"/>
    <n v="9112"/>
    <n v="1700"/>
    <n v="28"/>
    <n v="0.77777777777777779"/>
  </r>
  <r>
    <s v="C407"/>
    <n v="24"/>
    <n v="55"/>
    <n v="4"/>
    <x v="1"/>
    <x v="0"/>
    <s v="NSW"/>
    <n v="40855"/>
    <n v="2500"/>
    <n v="51"/>
    <n v="0.92727272727272725"/>
  </r>
  <r>
    <s v="C232"/>
    <n v="47"/>
    <n v="35"/>
    <n v="6"/>
    <x v="0"/>
    <x v="1"/>
    <s v="SA"/>
    <n v="9977"/>
    <n v="1700"/>
    <n v="29"/>
    <n v="0.82857142857142863"/>
  </r>
  <r>
    <s v="C112"/>
    <n v="36"/>
    <n v="26"/>
    <n v="12"/>
    <x v="1"/>
    <x v="1"/>
    <s v="VIC"/>
    <n v="7218"/>
    <n v="1700"/>
    <n v="14"/>
    <n v="0.53846153846153844"/>
  </r>
  <r>
    <s v="C267"/>
    <n v="41"/>
    <n v="40"/>
    <n v="14"/>
    <x v="1"/>
    <x v="1"/>
    <s v="QLD"/>
    <n v="8345"/>
    <n v="1700"/>
    <n v="26"/>
    <n v="0.65"/>
  </r>
  <r>
    <s v="C147"/>
    <n v="20"/>
    <n v="55"/>
    <n v="5"/>
    <x v="0"/>
    <x v="0"/>
    <s v="NSW"/>
    <n v="46321"/>
    <n v="2500"/>
    <n v="50"/>
    <n v="0.90909090909090906"/>
  </r>
  <r>
    <s v="C414"/>
    <n v="33"/>
    <n v="28"/>
    <n v="9"/>
    <x v="1"/>
    <x v="1"/>
    <s v="VIC"/>
    <n v="8751"/>
    <n v="1700"/>
    <n v="19"/>
    <n v="0.6785714285714286"/>
  </r>
  <r>
    <s v="C716"/>
    <n v="25"/>
    <n v="34"/>
    <n v="10"/>
    <x v="0"/>
    <x v="1"/>
    <s v="NSW"/>
    <n v="7375"/>
    <n v="1700"/>
    <n v="24"/>
    <n v="0.70588235294117652"/>
  </r>
  <r>
    <s v="C678"/>
    <n v="28"/>
    <n v="54"/>
    <n v="7"/>
    <x v="1"/>
    <x v="0"/>
    <s v="NSW"/>
    <n v="55743"/>
    <n v="2500"/>
    <n v="47"/>
    <n v="0.87037037037037035"/>
  </r>
  <r>
    <s v="C590"/>
    <n v="27"/>
    <n v="36"/>
    <n v="4"/>
    <x v="0"/>
    <x v="0"/>
    <s v="NSW"/>
    <n v="7210"/>
    <n v="1700"/>
    <n v="32"/>
    <n v="0.88888888888888884"/>
  </r>
  <r>
    <s v="C790"/>
    <n v="22"/>
    <n v="31"/>
    <n v="13"/>
    <x v="1"/>
    <x v="1"/>
    <s v="NSW"/>
    <n v="6900"/>
    <n v="1700"/>
    <n v="18"/>
    <n v="0.58064516129032262"/>
  </r>
  <r>
    <s v="C315"/>
    <n v="49"/>
    <n v="55"/>
    <n v="15"/>
    <x v="0"/>
    <x v="1"/>
    <s v="TAS"/>
    <n v="30166"/>
    <n v="2500"/>
    <n v="40"/>
    <n v="0.72727272727272729"/>
  </r>
  <r>
    <s v="C616"/>
    <n v="22"/>
    <n v="33"/>
    <n v="8"/>
    <x v="0"/>
    <x v="0"/>
    <s v="NSW"/>
    <n v="6064"/>
    <n v="1700"/>
    <n v="25"/>
    <n v="0.75757575757575757"/>
  </r>
  <r>
    <s v="C201"/>
    <n v="46"/>
    <n v="26"/>
    <n v="12"/>
    <x v="1"/>
    <x v="1"/>
    <s v="WA"/>
    <n v="9719"/>
    <n v="1700"/>
    <n v="14"/>
    <n v="0.53846153846153844"/>
  </r>
  <r>
    <s v="C455"/>
    <n v="36"/>
    <n v="52"/>
    <n v="12"/>
    <x v="0"/>
    <x v="0"/>
    <s v="VIC"/>
    <n v="6332"/>
    <n v="1900"/>
    <n v="40"/>
    <n v="0.76923076923076927"/>
  </r>
  <r>
    <s v="C340"/>
    <n v="30"/>
    <n v="59"/>
    <n v="12"/>
    <x v="1"/>
    <x v="0"/>
    <s v="VIC"/>
    <n v="22154"/>
    <n v="2700"/>
    <n v="47"/>
    <n v="0.79661016949152541"/>
  </r>
  <r>
    <s v="C736"/>
    <n v="25"/>
    <n v="52"/>
    <n v="10"/>
    <x v="1"/>
    <x v="0"/>
    <s v="NSW"/>
    <n v="7744"/>
    <n v="1900"/>
    <n v="42"/>
    <n v="0.80769230769230771"/>
  </r>
  <r>
    <s v="C328"/>
    <n v="46"/>
    <n v="39"/>
    <n v="12"/>
    <x v="0"/>
    <x v="1"/>
    <s v="WA"/>
    <n v="8629"/>
    <n v="1700"/>
    <n v="27"/>
    <n v="0.69230769230769229"/>
  </r>
  <r>
    <s v="C688"/>
    <n v="26"/>
    <n v="39"/>
    <n v="10"/>
    <x v="1"/>
    <x v="0"/>
    <s v="NSW"/>
    <n v="8324"/>
    <n v="1700"/>
    <n v="29"/>
    <n v="0.74358974358974361"/>
  </r>
  <r>
    <s v="C595"/>
    <n v="44"/>
    <n v="29"/>
    <n v="11"/>
    <x v="1"/>
    <x v="1"/>
    <s v="WA"/>
    <n v="9558"/>
    <n v="1700"/>
    <n v="18"/>
    <n v="0.62068965517241381"/>
  </r>
  <r>
    <s v="C172"/>
    <n v="29"/>
    <n v="51"/>
    <n v="12"/>
    <x v="1"/>
    <x v="0"/>
    <s v="VIC"/>
    <n v="7416"/>
    <n v="1900"/>
    <n v="39"/>
    <n v="0.76470588235294112"/>
  </r>
  <r>
    <s v="C209"/>
    <n v="42"/>
    <n v="47"/>
    <n v="11"/>
    <x v="1"/>
    <x v="1"/>
    <s v="QLD"/>
    <n v="6822"/>
    <n v="1900"/>
    <n v="36"/>
    <n v="0.76595744680851063"/>
  </r>
  <r>
    <s v="C700"/>
    <n v="40"/>
    <n v="58"/>
    <n v="10"/>
    <x v="0"/>
    <x v="0"/>
    <s v="QLD"/>
    <n v="15462"/>
    <n v="2700"/>
    <n v="48"/>
    <n v="0.82758620689655171"/>
  </r>
  <r>
    <s v="C329"/>
    <n v="36"/>
    <n v="42"/>
    <n v="11"/>
    <x v="0"/>
    <x v="1"/>
    <s v="VIC"/>
    <n v="8013"/>
    <n v="1700"/>
    <n v="31"/>
    <n v="0.73809523809523814"/>
  </r>
  <r>
    <s v="C520"/>
    <n v="31"/>
    <n v="41"/>
    <n v="11"/>
    <x v="0"/>
    <x v="1"/>
    <s v="VIC"/>
    <n v="9427"/>
    <n v="1700"/>
    <n v="30"/>
    <n v="0.73170731707317072"/>
  </r>
  <r>
    <s v="C644"/>
    <n v="32"/>
    <n v="60"/>
    <n v="11"/>
    <x v="1"/>
    <x v="0"/>
    <s v="VIC"/>
    <n v="35080"/>
    <n v="2700"/>
    <n v="49"/>
    <n v="0.81666666666666665"/>
  </r>
  <r>
    <s v="C102"/>
    <n v="27"/>
    <n v="59"/>
    <n v="12"/>
    <x v="1"/>
    <x v="0"/>
    <s v="NSW"/>
    <n v="37192"/>
    <n v="2700"/>
    <n v="47"/>
    <n v="0.79661016949152541"/>
  </r>
  <r>
    <s v="C106"/>
    <n v="23"/>
    <n v="32"/>
    <n v="8"/>
    <x v="1"/>
    <x v="0"/>
    <s v="NSW"/>
    <n v="7566"/>
    <n v="1700"/>
    <n v="24"/>
    <n v="0.75"/>
  </r>
  <r>
    <s v="C632"/>
    <n v="26"/>
    <n v="38"/>
    <n v="8"/>
    <x v="0"/>
    <x v="0"/>
    <s v="NSW"/>
    <n v="7130"/>
    <n v="1700"/>
    <n v="30"/>
    <n v="0.78947368421052633"/>
  </r>
  <r>
    <s v="C333"/>
    <n v="36"/>
    <n v="26"/>
    <n v="8"/>
    <x v="1"/>
    <x v="1"/>
    <s v="VIC"/>
    <n v="7928"/>
    <n v="1700"/>
    <n v="18"/>
    <n v="0.69230769230769229"/>
  </r>
  <r>
    <s v="C365"/>
    <n v="37"/>
    <n v="44"/>
    <n v="10"/>
    <x v="0"/>
    <x v="1"/>
    <s v="VIC"/>
    <n v="8581"/>
    <n v="1900"/>
    <n v="34"/>
    <n v="0.77272727272727271"/>
  </r>
  <r>
    <s v="C467"/>
    <n v="44"/>
    <n v="36"/>
    <n v="8"/>
    <x v="0"/>
    <x v="1"/>
    <s v="WA"/>
    <n v="8908"/>
    <n v="1700"/>
    <n v="28"/>
    <n v="0.77777777777777779"/>
  </r>
  <r>
    <s v="C161"/>
    <n v="34"/>
    <n v="41"/>
    <n v="11"/>
    <x v="1"/>
    <x v="1"/>
    <s v="VIC"/>
    <n v="6575"/>
    <n v="1700"/>
    <n v="30"/>
    <n v="0.73170731707317072"/>
  </r>
  <r>
    <s v="C427"/>
    <n v="48"/>
    <n v="37"/>
    <n v="9"/>
    <x v="1"/>
    <x v="1"/>
    <s v="SA"/>
    <n v="6366"/>
    <n v="1700"/>
    <n v="28"/>
    <n v="0.7567567567567568"/>
  </r>
  <r>
    <s v="C553"/>
    <n v="46"/>
    <n v="36"/>
    <n v="11"/>
    <x v="0"/>
    <x v="1"/>
    <s v="WA"/>
    <n v="9212"/>
    <n v="1700"/>
    <n v="25"/>
    <n v="0.69444444444444442"/>
  </r>
  <r>
    <s v="C780"/>
    <n v="26"/>
    <n v="54"/>
    <n v="8"/>
    <x v="0"/>
    <x v="0"/>
    <s v="NSW"/>
    <n v="15085"/>
    <n v="2500"/>
    <n v="46"/>
    <n v="0.85185185185185186"/>
  </r>
  <r>
    <s v="C756"/>
    <n v="31"/>
    <n v="54"/>
    <n v="12"/>
    <x v="1"/>
    <x v="0"/>
    <s v="VIC"/>
    <n v="30931"/>
    <n v="2500"/>
    <n v="42"/>
    <n v="0.77777777777777779"/>
  </r>
  <r>
    <s v="C722"/>
    <n v="35"/>
    <n v="30"/>
    <n v="11"/>
    <x v="0"/>
    <x v="1"/>
    <s v="VIC"/>
    <n v="8502"/>
    <n v="1700"/>
    <n v="19"/>
    <n v="0.6333333333333333"/>
  </r>
  <r>
    <s v="C383"/>
    <n v="40"/>
    <n v="45"/>
    <n v="11"/>
    <x v="1"/>
    <x v="1"/>
    <s v="QLD"/>
    <n v="6300"/>
    <n v="1900"/>
    <n v="34"/>
    <n v="0.75555555555555554"/>
  </r>
  <r>
    <s v="C287"/>
    <n v="26"/>
    <n v="26"/>
    <n v="11"/>
    <x v="0"/>
    <x v="1"/>
    <s v="NSW"/>
    <n v="8402"/>
    <n v="1700"/>
    <n v="15"/>
    <n v="0.57692307692307687"/>
  </r>
  <r>
    <s v="C368"/>
    <n v="45"/>
    <n v="56"/>
    <n v="9"/>
    <x v="1"/>
    <x v="0"/>
    <s v="WA"/>
    <n v="23146"/>
    <n v="2500"/>
    <n v="47"/>
    <n v="0.8392857142857143"/>
  </r>
  <r>
    <s v="C707"/>
    <n v="36"/>
    <n v="31"/>
    <n v="10"/>
    <x v="0"/>
    <x v="1"/>
    <s v="VIC"/>
    <n v="6482"/>
    <n v="1700"/>
    <n v="21"/>
    <n v="0.67741935483870963"/>
  </r>
  <r>
    <s v="C393"/>
    <n v="43"/>
    <n v="34"/>
    <n v="8"/>
    <x v="0"/>
    <x v="1"/>
    <s v="QLD"/>
    <n v="6289"/>
    <n v="1700"/>
    <n v="26"/>
    <n v="0.76470588235294112"/>
  </r>
  <r>
    <s v="C156"/>
    <n v="43"/>
    <n v="48"/>
    <n v="8"/>
    <x v="0"/>
    <x v="1"/>
    <s v="QLD"/>
    <n v="7498"/>
    <n v="1900"/>
    <n v="40"/>
    <n v="0.83333333333333337"/>
  </r>
  <r>
    <s v="C572"/>
    <n v="36"/>
    <n v="56"/>
    <n v="8"/>
    <x v="0"/>
    <x v="0"/>
    <s v="VIC"/>
    <n v="56970"/>
    <n v="2500"/>
    <n v="48"/>
    <n v="0.8571428571428571"/>
  </r>
  <r>
    <s v="C625"/>
    <n v="49"/>
    <n v="78"/>
    <n v="7"/>
    <x v="0"/>
    <x v="0"/>
    <s v="TAS"/>
    <n v="51777"/>
    <n v="2500"/>
    <n v="71"/>
    <n v="0.91025641025641024"/>
  </r>
  <r>
    <s v="C580"/>
    <n v="32"/>
    <n v="41"/>
    <n v="8"/>
    <x v="1"/>
    <x v="0"/>
    <s v="VIC"/>
    <n v="7100"/>
    <n v="1700"/>
    <n v="33"/>
    <n v="0.80487804878048785"/>
  </r>
  <r>
    <s v="C227"/>
    <n v="48"/>
    <n v="59"/>
    <n v="11"/>
    <x v="0"/>
    <x v="0"/>
    <s v="SA"/>
    <n v="19076"/>
    <n v="2700"/>
    <n v="48"/>
    <n v="0.81355932203389836"/>
  </r>
  <r>
    <s v="C416"/>
    <n v="24"/>
    <n v="28"/>
    <n v="11"/>
    <x v="1"/>
    <x v="1"/>
    <s v="NSW"/>
    <n v="8347"/>
    <n v="1700"/>
    <n v="17"/>
    <n v="0.6071428571428571"/>
  </r>
  <r>
    <s v="C128"/>
    <n v="26"/>
    <n v="38"/>
    <n v="13"/>
    <x v="0"/>
    <x v="1"/>
    <s v="NSW"/>
    <n v="8737"/>
    <n v="1700"/>
    <n v="25"/>
    <n v="0.65789473684210531"/>
  </r>
  <r>
    <s v="C111"/>
    <n v="49"/>
    <n v="34"/>
    <n v="16"/>
    <x v="0"/>
    <x v="1"/>
    <s v="ACT"/>
    <n v="8667"/>
    <n v="1700"/>
    <n v="18"/>
    <n v="0.52941176470588236"/>
  </r>
  <r>
    <s v="C242"/>
    <n v="42"/>
    <n v="26"/>
    <n v="11"/>
    <x v="0"/>
    <x v="1"/>
    <s v="QLD"/>
    <n v="8772"/>
    <n v="1700"/>
    <n v="15"/>
    <n v="0.57692307692307687"/>
  </r>
  <r>
    <s v="C282"/>
    <n v="45"/>
    <n v="55"/>
    <n v="9"/>
    <x v="1"/>
    <x v="0"/>
    <s v="WA"/>
    <n v="17599"/>
    <n v="2500"/>
    <n v="46"/>
    <n v="0.83636363636363631"/>
  </r>
  <r>
    <s v="C166"/>
    <n v="25"/>
    <n v="27"/>
    <n v="14"/>
    <x v="0"/>
    <x v="1"/>
    <s v="NSW"/>
    <n v="9832"/>
    <n v="1700"/>
    <n v="13"/>
    <n v="0.48148148148148145"/>
  </r>
  <r>
    <s v="C487"/>
    <n v="45"/>
    <n v="42"/>
    <n v="12"/>
    <x v="1"/>
    <x v="1"/>
    <s v="WA"/>
    <n v="9637"/>
    <n v="1700"/>
    <n v="30"/>
    <n v="0.7142857142857143"/>
  </r>
  <r>
    <s v="C771"/>
    <n v="37"/>
    <n v="31"/>
    <n v="4"/>
    <x v="0"/>
    <x v="1"/>
    <s v="QLD"/>
    <n v="7097"/>
    <n v="1700"/>
    <n v="27"/>
    <n v="0.87096774193548387"/>
  </r>
  <r>
    <s v="C731"/>
    <n v="34"/>
    <n v="42"/>
    <n v="3"/>
    <x v="1"/>
    <x v="0"/>
    <s v="VIC"/>
    <n v="8293"/>
    <n v="1700"/>
    <n v="39"/>
    <n v="0.9285714285714286"/>
  </r>
  <r>
    <s v="C786"/>
    <n v="46"/>
    <n v="41"/>
    <n v="9"/>
    <x v="1"/>
    <x v="1"/>
    <s v="WA"/>
    <n v="8744"/>
    <n v="1700"/>
    <n v="32"/>
    <n v="0.78048780487804881"/>
  </r>
  <r>
    <s v="C235"/>
    <n v="48"/>
    <n v="27"/>
    <n v="8"/>
    <x v="1"/>
    <x v="1"/>
    <s v="SA"/>
    <n v="7937"/>
    <n v="1700"/>
    <n v="19"/>
    <n v="0.70370370370370372"/>
  </r>
  <r>
    <s v="C199"/>
    <n v="40"/>
    <n v="36"/>
    <n v="12"/>
    <x v="1"/>
    <x v="1"/>
    <s v="QLD"/>
    <n v="6488"/>
    <n v="1700"/>
    <n v="24"/>
    <n v="0.66666666666666663"/>
  </r>
  <r>
    <s v="C545"/>
    <n v="36"/>
    <n v="41"/>
    <n v="5"/>
    <x v="1"/>
    <x v="0"/>
    <s v="VIC"/>
    <n v="8335"/>
    <n v="1700"/>
    <n v="36"/>
    <n v="0.87804878048780488"/>
  </r>
  <r>
    <s v="C547"/>
    <n v="39"/>
    <n v="54"/>
    <n v="8"/>
    <x v="0"/>
    <x v="0"/>
    <s v="QLD"/>
    <n v="10346"/>
    <n v="2500"/>
    <n v="46"/>
    <n v="0.85185185185185186"/>
  </r>
  <r>
    <s v="C193"/>
    <n v="44"/>
    <n v="27"/>
    <n v="12"/>
    <x v="0"/>
    <x v="1"/>
    <s v="WA"/>
    <n v="8736"/>
    <n v="1700"/>
    <n v="15"/>
    <n v="0.55555555555555558"/>
  </r>
  <r>
    <s v="C717"/>
    <n v="47"/>
    <n v="56"/>
    <n v="12"/>
    <x v="1"/>
    <x v="1"/>
    <s v="SA"/>
    <n v="29988"/>
    <n v="2500"/>
    <n v="44"/>
    <n v="0.7857142857142857"/>
  </r>
  <r>
    <s v="C399"/>
    <n v="50"/>
    <n v="45"/>
    <n v="8"/>
    <x v="0"/>
    <x v="1"/>
    <s v="TAS"/>
    <n v="9167"/>
    <n v="1900"/>
    <n v="37"/>
    <n v="0.82222222222222219"/>
  </r>
  <r>
    <s v="C358"/>
    <n v="22"/>
    <n v="48"/>
    <n v="9"/>
    <x v="0"/>
    <x v="0"/>
    <s v="NSW"/>
    <n v="6973"/>
    <n v="1900"/>
    <n v="39"/>
    <n v="0.8125"/>
  </r>
  <r>
    <s v="C671"/>
    <n v="44"/>
    <n v="50"/>
    <n v="9"/>
    <x v="1"/>
    <x v="1"/>
    <s v="WA"/>
    <n v="7266"/>
    <n v="1900"/>
    <n v="41"/>
    <n v="0.82"/>
  </r>
  <r>
    <s v="C152"/>
    <n v="29"/>
    <n v="41"/>
    <n v="9"/>
    <x v="0"/>
    <x v="0"/>
    <s v="VIC"/>
    <n v="6096"/>
    <n v="1700"/>
    <n v="32"/>
    <n v="0.78048780487804881"/>
  </r>
  <r>
    <s v="C433"/>
    <n v="39"/>
    <n v="47"/>
    <n v="10"/>
    <x v="0"/>
    <x v="1"/>
    <s v="QLD"/>
    <n v="6353"/>
    <n v="1900"/>
    <n v="37"/>
    <n v="0.78723404255319152"/>
  </r>
  <r>
    <s v="C388"/>
    <n v="31"/>
    <n v="39"/>
    <n v="15"/>
    <x v="0"/>
    <x v="1"/>
    <s v="VIC"/>
    <n v="9812"/>
    <n v="1700"/>
    <n v="24"/>
    <n v="0.61538461538461542"/>
  </r>
  <r>
    <s v="C561"/>
    <n v="29"/>
    <n v="29"/>
    <n v="11"/>
    <x v="0"/>
    <x v="1"/>
    <s v="VIC"/>
    <n v="9729"/>
    <n v="1700"/>
    <n v="18"/>
    <n v="0.62068965517241381"/>
  </r>
  <r>
    <s v="C554"/>
    <n v="30"/>
    <n v="40"/>
    <n v="16"/>
    <x v="1"/>
    <x v="1"/>
    <s v="VIC"/>
    <n v="6535"/>
    <n v="1700"/>
    <n v="24"/>
    <n v="0.6"/>
  </r>
  <r>
    <s v="C531"/>
    <n v="41"/>
    <n v="28"/>
    <n v="13"/>
    <x v="0"/>
    <x v="1"/>
    <s v="QLD"/>
    <n v="7594"/>
    <n v="1700"/>
    <n v="15"/>
    <n v="0.5357142857142857"/>
  </r>
  <r>
    <s v="C261"/>
    <n v="27"/>
    <n v="57"/>
    <n v="6"/>
    <x v="1"/>
    <x v="0"/>
    <s v="NSW"/>
    <n v="33503"/>
    <n v="2500"/>
    <n v="51"/>
    <n v="0.89473684210526316"/>
  </r>
  <r>
    <s v="C300"/>
    <n v="29"/>
    <n v="47"/>
    <n v="7"/>
    <x v="0"/>
    <x v="0"/>
    <s v="VIC"/>
    <n v="8144"/>
    <n v="1900"/>
    <n v="40"/>
    <n v="0.85106382978723405"/>
  </r>
  <r>
    <s v="C452"/>
    <n v="36"/>
    <n v="58"/>
    <n v="10"/>
    <x v="1"/>
    <x v="0"/>
    <s v="VIC"/>
    <n v="18196"/>
    <n v="2700"/>
    <n v="48"/>
    <n v="0.82758620689655171"/>
  </r>
  <r>
    <s v="C539"/>
    <n v="21"/>
    <n v="42"/>
    <n v="11"/>
    <x v="1"/>
    <x v="0"/>
    <s v="NSW"/>
    <n v="6454"/>
    <n v="1700"/>
    <n v="31"/>
    <n v="0.73809523809523814"/>
  </r>
  <r>
    <s v="C143"/>
    <n v="35"/>
    <n v="37"/>
    <n v="4"/>
    <x v="1"/>
    <x v="1"/>
    <s v="VIC"/>
    <n v="7636"/>
    <n v="1700"/>
    <n v="33"/>
    <n v="0.89189189189189189"/>
  </r>
  <r>
    <s v="C528"/>
    <n v="34"/>
    <n v="43"/>
    <n v="11"/>
    <x v="0"/>
    <x v="1"/>
    <s v="VIC"/>
    <n v="6022"/>
    <n v="1700"/>
    <n v="32"/>
    <n v="0.7441860465116279"/>
  </r>
  <r>
    <s v="C578"/>
    <n v="35"/>
    <n v="52"/>
    <n v="12"/>
    <x v="1"/>
    <x v="0"/>
    <s v="VIC"/>
    <n v="9647"/>
    <n v="1900"/>
    <n v="40"/>
    <n v="0.76923076923076927"/>
  </r>
  <r>
    <s v="C363"/>
    <n v="24"/>
    <n v="36"/>
    <n v="6"/>
    <x v="0"/>
    <x v="0"/>
    <s v="NSW"/>
    <n v="6469"/>
    <n v="1700"/>
    <n v="30"/>
    <n v="0.83333333333333337"/>
  </r>
  <r>
    <s v="C552"/>
    <n v="43"/>
    <n v="45"/>
    <n v="16"/>
    <x v="0"/>
    <x v="1"/>
    <s v="QLD"/>
    <n v="6466"/>
    <n v="1900"/>
    <n v="29"/>
    <n v="0.64444444444444449"/>
  </r>
  <r>
    <s v="C255"/>
    <n v="36"/>
    <n v="39"/>
    <n v="6"/>
    <x v="0"/>
    <x v="1"/>
    <s v="VIC"/>
    <n v="9729"/>
    <n v="1700"/>
    <n v="33"/>
    <n v="0.84615384615384615"/>
  </r>
  <r>
    <s v="C762"/>
    <n v="22"/>
    <n v="44"/>
    <n v="11"/>
    <x v="0"/>
    <x v="0"/>
    <s v="NSW"/>
    <n v="7213"/>
    <n v="1700"/>
    <n v="33"/>
    <n v="0.75"/>
  </r>
  <r>
    <s v="C445"/>
    <n v="48"/>
    <n v="25"/>
    <n v="11"/>
    <x v="1"/>
    <x v="1"/>
    <s v="SA"/>
    <n v="9047"/>
    <n v="1700"/>
    <n v="14"/>
    <n v="0.56000000000000005"/>
  </r>
  <r>
    <s v="C396"/>
    <n v="24"/>
    <n v="31"/>
    <n v="10"/>
    <x v="1"/>
    <x v="1"/>
    <s v="NSW"/>
    <n v="6851"/>
    <n v="1700"/>
    <n v="21"/>
    <n v="0.67741935483870963"/>
  </r>
  <r>
    <s v="C538"/>
    <n v="43"/>
    <n v="57"/>
    <n v="10"/>
    <x v="1"/>
    <x v="0"/>
    <s v="WA"/>
    <n v="27873"/>
    <n v="2500"/>
    <n v="47"/>
    <n v="0.82456140350877194"/>
  </r>
  <r>
    <s v="C290"/>
    <n v="30"/>
    <n v="41"/>
    <n v="6"/>
    <x v="0"/>
    <x v="0"/>
    <s v="VIC"/>
    <n v="9465"/>
    <n v="1700"/>
    <n v="35"/>
    <n v="0.85365853658536583"/>
  </r>
  <r>
    <s v="C361"/>
    <n v="48"/>
    <n v="37"/>
    <n v="4"/>
    <x v="0"/>
    <x v="1"/>
    <s v="SA"/>
    <n v="6792"/>
    <n v="1700"/>
    <n v="33"/>
    <n v="0.89189189189189189"/>
  </r>
  <r>
    <s v="C108"/>
    <n v="42"/>
    <n v="44"/>
    <n v="12"/>
    <x v="1"/>
    <x v="1"/>
    <s v="QLD"/>
    <n v="9341"/>
    <n v="1700"/>
    <n v="32"/>
    <n v="0.72727272727272729"/>
  </r>
  <r>
    <s v="C712"/>
    <n v="47"/>
    <n v="29"/>
    <n v="9"/>
    <x v="0"/>
    <x v="1"/>
    <s v="SA"/>
    <n v="9235"/>
    <n v="1700"/>
    <n v="20"/>
    <n v="0.68965517241379315"/>
  </r>
  <r>
    <s v="C215"/>
    <n v="49"/>
    <n v="27"/>
    <n v="7"/>
    <x v="0"/>
    <x v="1"/>
    <s v="ACT"/>
    <n v="9630"/>
    <n v="1700"/>
    <n v="20"/>
    <n v="0.7407407407407407"/>
  </r>
  <r>
    <s v="C573"/>
    <n v="41"/>
    <n v="40"/>
    <n v="2"/>
    <x v="1"/>
    <x v="1"/>
    <s v="QLD"/>
    <n v="9839"/>
    <n v="1700"/>
    <n v="38"/>
    <n v="0.95"/>
  </r>
  <r>
    <s v="C403"/>
    <n v="30"/>
    <n v="26"/>
    <n v="15"/>
    <x v="1"/>
    <x v="1"/>
    <s v="VIC"/>
    <n v="9697"/>
    <n v="1700"/>
    <n v="11"/>
    <n v="0.42307692307692307"/>
  </r>
  <r>
    <s v="C415"/>
    <n v="32"/>
    <n v="36"/>
    <n v="7"/>
    <x v="1"/>
    <x v="1"/>
    <s v="VIC"/>
    <n v="9018"/>
    <n v="1700"/>
    <n v="29"/>
    <n v="0.80555555555555558"/>
  </r>
  <r>
    <s v="C158"/>
    <n v="44"/>
    <n v="42"/>
    <n v="11"/>
    <x v="1"/>
    <x v="1"/>
    <s v="WA"/>
    <n v="6246"/>
    <n v="1700"/>
    <n v="31"/>
    <n v="0.73809523809523814"/>
  </r>
  <r>
    <s v="C420"/>
    <n v="26"/>
    <n v="56"/>
    <n v="12"/>
    <x v="0"/>
    <x v="0"/>
    <s v="NSW"/>
    <n v="20702"/>
    <n v="2500"/>
    <n v="44"/>
    <n v="0.7857142857142857"/>
  </r>
  <r>
    <s v="C424"/>
    <n v="44"/>
    <n v="54"/>
    <n v="9"/>
    <x v="1"/>
    <x v="0"/>
    <s v="WA"/>
    <n v="29932"/>
    <n v="2500"/>
    <n v="45"/>
    <n v="0.83333333333333337"/>
  </r>
  <r>
    <s v="C354"/>
    <n v="37"/>
    <n v="55"/>
    <n v="4"/>
    <x v="1"/>
    <x v="0"/>
    <s v="QLD"/>
    <n v="51210"/>
    <n v="2500"/>
    <n v="51"/>
    <n v="0.92727272727272725"/>
  </r>
  <r>
    <s v="C469"/>
    <n v="36"/>
    <n v="27"/>
    <n v="14"/>
    <x v="0"/>
    <x v="1"/>
    <s v="VIC"/>
    <n v="6176"/>
    <n v="1700"/>
    <n v="13"/>
    <n v="0.48148148148148145"/>
  </r>
  <r>
    <s v="C144"/>
    <n v="45"/>
    <n v="38"/>
    <n v="12"/>
    <x v="1"/>
    <x v="1"/>
    <s v="WA"/>
    <n v="7501"/>
    <n v="1700"/>
    <n v="26"/>
    <n v="0.68421052631578949"/>
  </r>
  <r>
    <s v="C482"/>
    <n v="40"/>
    <n v="58"/>
    <n v="15"/>
    <x v="0"/>
    <x v="0"/>
    <s v="QLD"/>
    <n v="53556"/>
    <n v="2700"/>
    <n v="43"/>
    <n v="0.74137931034482762"/>
  </r>
  <r>
    <s v="C378"/>
    <n v="48"/>
    <n v="54"/>
    <n v="10"/>
    <x v="0"/>
    <x v="1"/>
    <s v="SA"/>
    <n v="18383"/>
    <n v="2500"/>
    <n v="44"/>
    <n v="0.81481481481481477"/>
  </r>
  <r>
    <s v="C480"/>
    <n v="25"/>
    <n v="27"/>
    <n v="12"/>
    <x v="0"/>
    <x v="1"/>
    <s v="NSW"/>
    <n v="8738"/>
    <n v="1700"/>
    <n v="15"/>
    <n v="0.55555555555555558"/>
  </r>
  <r>
    <s v="C630"/>
    <n v="39"/>
    <n v="39"/>
    <n v="12"/>
    <x v="1"/>
    <x v="1"/>
    <s v="QLD"/>
    <n v="9423"/>
    <n v="1700"/>
    <n v="27"/>
    <n v="0.69230769230769229"/>
  </r>
  <r>
    <s v="C171"/>
    <n v="44"/>
    <n v="50"/>
    <n v="6"/>
    <x v="1"/>
    <x v="0"/>
    <s v="WA"/>
    <n v="7219"/>
    <n v="1900"/>
    <n v="44"/>
    <n v="0.88"/>
  </r>
  <r>
    <s v="C263"/>
    <n v="24"/>
    <n v="33"/>
    <n v="13"/>
    <x v="0"/>
    <x v="1"/>
    <s v="NSW"/>
    <n v="6071"/>
    <n v="1700"/>
    <n v="20"/>
    <n v="0.60606060606060608"/>
  </r>
  <r>
    <s v="C653"/>
    <n v="45"/>
    <n v="37"/>
    <n v="9"/>
    <x v="0"/>
    <x v="1"/>
    <s v="WA"/>
    <n v="7989"/>
    <n v="1700"/>
    <n v="28"/>
    <n v="0.7567567567567568"/>
  </r>
  <r>
    <s v="C586"/>
    <n v="25"/>
    <n v="49"/>
    <n v="15"/>
    <x v="0"/>
    <x v="0"/>
    <s v="NSW"/>
    <n v="6203"/>
    <n v="1900"/>
    <n v="34"/>
    <n v="0.69387755102040816"/>
  </r>
  <r>
    <s v="C582"/>
    <n v="44"/>
    <n v="28"/>
    <n v="8"/>
    <x v="0"/>
    <x v="1"/>
    <s v="WA"/>
    <n v="6667"/>
    <n v="1700"/>
    <n v="20"/>
    <n v="0.7142857142857143"/>
  </r>
  <r>
    <s v="C154"/>
    <n v="21"/>
    <n v="57"/>
    <n v="4"/>
    <x v="1"/>
    <x v="0"/>
    <s v="NSW"/>
    <n v="15308"/>
    <n v="2700"/>
    <n v="53"/>
    <n v="0.92982456140350878"/>
  </r>
  <r>
    <s v="C221"/>
    <n v="42"/>
    <n v="60"/>
    <n v="12"/>
    <x v="0"/>
    <x v="0"/>
    <s v="QLD"/>
    <n v="51174"/>
    <n v="2700"/>
    <n v="48"/>
    <n v="0.8"/>
  </r>
  <r>
    <s v="C252"/>
    <n v="30"/>
    <n v="25"/>
    <n v="11"/>
    <x v="0"/>
    <x v="1"/>
    <s v="VIC"/>
    <n v="9876"/>
    <n v="1700"/>
    <n v="14"/>
    <n v="0.56000000000000005"/>
  </r>
  <r>
    <s v="C754"/>
    <n v="46"/>
    <n v="55"/>
    <n v="8"/>
    <x v="0"/>
    <x v="0"/>
    <s v="WA"/>
    <n v="36959"/>
    <n v="2500"/>
    <n v="47"/>
    <n v="0.8545454545454545"/>
  </r>
  <r>
    <s v="C675"/>
    <n v="32"/>
    <n v="54"/>
    <n v="12"/>
    <x v="1"/>
    <x v="0"/>
    <s v="VIC"/>
    <n v="16886"/>
    <n v="2500"/>
    <n v="42"/>
    <n v="0.77777777777777779"/>
  </r>
  <r>
    <s v="C342"/>
    <n v="22"/>
    <n v="34"/>
    <n v="12"/>
    <x v="1"/>
    <x v="0"/>
    <s v="NSW"/>
    <n v="7234"/>
    <n v="1700"/>
    <n v="22"/>
    <n v="0.6470588235294118"/>
  </r>
  <r>
    <s v="C658"/>
    <n v="50"/>
    <n v="52"/>
    <n v="13"/>
    <x v="0"/>
    <x v="1"/>
    <s v="NT"/>
    <n v="6570"/>
    <n v="1900"/>
    <n v="39"/>
    <n v="0.75"/>
  </r>
  <r>
    <s v="C153"/>
    <n v="40"/>
    <n v="48"/>
    <n v="12"/>
    <x v="1"/>
    <x v="1"/>
    <s v="QLD"/>
    <n v="7724"/>
    <n v="1900"/>
    <n v="36"/>
    <n v="0.75"/>
  </r>
  <r>
    <s v="C273"/>
    <n v="36"/>
    <n v="32"/>
    <n v="6"/>
    <x v="0"/>
    <x v="1"/>
    <s v="VIC"/>
    <n v="8033"/>
    <n v="1700"/>
    <n v="26"/>
    <n v="0.8125"/>
  </r>
  <r>
    <s v="C397"/>
    <n v="41"/>
    <n v="45"/>
    <n v="7"/>
    <x v="1"/>
    <x v="1"/>
    <s v="QLD"/>
    <n v="9848"/>
    <n v="1900"/>
    <n v="38"/>
    <n v="0.84444444444444444"/>
  </r>
  <r>
    <s v="C543"/>
    <n v="26"/>
    <n v="32"/>
    <n v="14"/>
    <x v="1"/>
    <x v="1"/>
    <s v="NSW"/>
    <n v="7576"/>
    <n v="1700"/>
    <n v="18"/>
    <n v="0.5625"/>
  </r>
  <r>
    <s v="C567"/>
    <n v="39"/>
    <n v="60"/>
    <n v="13"/>
    <x v="0"/>
    <x v="0"/>
    <s v="QLD"/>
    <n v="33400"/>
    <n v="2700"/>
    <n v="47"/>
    <n v="0.78333333333333333"/>
  </r>
  <r>
    <s v="C122"/>
    <n v="33"/>
    <n v="58"/>
    <n v="14"/>
    <x v="1"/>
    <x v="0"/>
    <s v="VIC"/>
    <n v="10393"/>
    <n v="2700"/>
    <n v="44"/>
    <n v="0.75862068965517238"/>
  </r>
  <r>
    <s v="C555"/>
    <n v="32"/>
    <n v="36"/>
    <n v="13"/>
    <x v="1"/>
    <x v="1"/>
    <s v="VIC"/>
    <n v="6920"/>
    <n v="1700"/>
    <n v="23"/>
    <n v="0.63888888888888884"/>
  </r>
  <r>
    <s v="C497"/>
    <n v="40"/>
    <n v="51"/>
    <n v="15"/>
    <x v="0"/>
    <x v="1"/>
    <s v="QLD"/>
    <n v="9892"/>
    <n v="1900"/>
    <n v="36"/>
    <n v="0.70588235294117652"/>
  </r>
  <r>
    <s v="C400"/>
    <n v="36"/>
    <n v="28"/>
    <n v="9"/>
    <x v="1"/>
    <x v="1"/>
    <s v="VIC"/>
    <n v="8841"/>
    <n v="1700"/>
    <n v="19"/>
    <n v="0.6785714285714286"/>
  </r>
  <r>
    <s v="C114"/>
    <n v="22"/>
    <n v="34"/>
    <n v="11"/>
    <x v="1"/>
    <x v="0"/>
    <s v="NSW"/>
    <n v="9018"/>
    <n v="1700"/>
    <n v="23"/>
    <n v="0.67647058823529416"/>
  </r>
  <r>
    <s v="C548"/>
    <n v="36"/>
    <n v="41"/>
    <n v="8"/>
    <x v="0"/>
    <x v="1"/>
    <s v="VIC"/>
    <n v="8076"/>
    <n v="1700"/>
    <n v="33"/>
    <n v="0.80487804878048785"/>
  </r>
  <r>
    <s v="C295"/>
    <n v="29"/>
    <n v="29"/>
    <n v="11"/>
    <x v="1"/>
    <x v="1"/>
    <s v="VIC"/>
    <n v="7133"/>
    <n v="1700"/>
    <n v="18"/>
    <n v="0.62068965517241381"/>
  </r>
  <r>
    <s v="C782"/>
    <n v="37"/>
    <n v="50"/>
    <n v="12"/>
    <x v="1"/>
    <x v="0"/>
    <s v="QLD"/>
    <n v="6191"/>
    <n v="1900"/>
    <n v="38"/>
    <n v="0.76"/>
  </r>
  <r>
    <s v="C202"/>
    <n v="38"/>
    <n v="45"/>
    <n v="14"/>
    <x v="1"/>
    <x v="1"/>
    <s v="QLD"/>
    <n v="6946"/>
    <n v="1900"/>
    <n v="31"/>
    <n v="0.68888888888888888"/>
  </r>
  <r>
    <s v="C318"/>
    <n v="37"/>
    <n v="27"/>
    <n v="9"/>
    <x v="1"/>
    <x v="1"/>
    <s v="QLD"/>
    <n v="9361"/>
    <n v="1700"/>
    <n v="18"/>
    <n v="0.66666666666666663"/>
  </r>
  <r>
    <s v="C197"/>
    <n v="29"/>
    <n v="34"/>
    <n v="8"/>
    <x v="1"/>
    <x v="1"/>
    <s v="VIC"/>
    <n v="6265"/>
    <n v="1700"/>
    <n v="26"/>
    <n v="0.76470588235294112"/>
  </r>
  <r>
    <s v="C711"/>
    <n v="40"/>
    <n v="39"/>
    <n v="9"/>
    <x v="0"/>
    <x v="1"/>
    <s v="QLD"/>
    <n v="8861"/>
    <n v="1700"/>
    <n v="30"/>
    <n v="0.76923076923076927"/>
  </r>
  <r>
    <s v="C753"/>
    <n v="35"/>
    <n v="32"/>
    <n v="11"/>
    <x v="1"/>
    <x v="1"/>
    <s v="VIC"/>
    <n v="8036"/>
    <n v="1700"/>
    <n v="21"/>
    <n v="0.65625"/>
  </r>
  <r>
    <s v="C347"/>
    <n v="46"/>
    <n v="30"/>
    <n v="10"/>
    <x v="1"/>
    <x v="1"/>
    <s v="WA"/>
    <n v="6293"/>
    <n v="1700"/>
    <n v="20"/>
    <n v="0.66666666666666663"/>
  </r>
  <r>
    <s v="C185"/>
    <n v="28"/>
    <n v="43"/>
    <n v="9"/>
    <x v="1"/>
    <x v="0"/>
    <s v="NSW"/>
    <n v="9161"/>
    <n v="1700"/>
    <n v="34"/>
    <n v="0.79069767441860461"/>
  </r>
  <r>
    <s v="C516"/>
    <n v="32"/>
    <n v="44"/>
    <n v="6"/>
    <x v="1"/>
    <x v="0"/>
    <s v="VIC"/>
    <n v="6227"/>
    <n v="1700"/>
    <n v="38"/>
    <n v="0.86363636363636365"/>
  </r>
  <r>
    <s v="C791"/>
    <n v="39"/>
    <n v="41"/>
    <n v="12"/>
    <x v="1"/>
    <x v="1"/>
    <s v="QLD"/>
    <n v="7180"/>
    <n v="1700"/>
    <n v="29"/>
    <n v="0.70731707317073167"/>
  </r>
  <r>
    <s v="C748"/>
    <n v="32"/>
    <n v="57"/>
    <n v="12"/>
    <x v="0"/>
    <x v="0"/>
    <s v="VIC"/>
    <n v="19887"/>
    <n v="2500"/>
    <n v="45"/>
    <n v="0.78947368421052633"/>
  </r>
  <r>
    <s v="C607"/>
    <n v="25"/>
    <n v="56"/>
    <n v="11"/>
    <x v="1"/>
    <x v="0"/>
    <s v="NSW"/>
    <n v="11268"/>
    <n v="2500"/>
    <n v="45"/>
    <n v="0.8035714285714286"/>
  </r>
  <r>
    <s v="C579"/>
    <n v="28"/>
    <n v="44"/>
    <n v="6"/>
    <x v="1"/>
    <x v="0"/>
    <s v="NSW"/>
    <n v="7544"/>
    <n v="1700"/>
    <n v="38"/>
    <n v="0.86363636363636365"/>
  </r>
  <r>
    <s v="C434"/>
    <n v="20"/>
    <n v="55"/>
    <n v="5"/>
    <x v="1"/>
    <x v="0"/>
    <s v="NSW"/>
    <n v="42538"/>
    <n v="2500"/>
    <n v="50"/>
    <n v="0.90909090909090906"/>
  </r>
  <r>
    <s v="C522"/>
    <n v="33"/>
    <n v="35"/>
    <n v="8"/>
    <x v="0"/>
    <x v="1"/>
    <s v="VIC"/>
    <n v="6068"/>
    <n v="1700"/>
    <n v="27"/>
    <n v="0.77142857142857146"/>
  </r>
  <r>
    <s v="C447"/>
    <n v="30"/>
    <n v="25"/>
    <n v="11"/>
    <x v="0"/>
    <x v="1"/>
    <s v="VIC"/>
    <n v="8407"/>
    <n v="1700"/>
    <n v="14"/>
    <n v="0.56000000000000005"/>
  </r>
  <r>
    <s v="C248"/>
    <n v="35"/>
    <n v="33"/>
    <n v="6"/>
    <x v="1"/>
    <x v="1"/>
    <s v="VIC"/>
    <n v="8894"/>
    <n v="1700"/>
    <n v="27"/>
    <n v="0.81818181818181823"/>
  </r>
  <r>
    <s v="C286"/>
    <n v="32"/>
    <n v="31"/>
    <n v="14"/>
    <x v="1"/>
    <x v="1"/>
    <s v="VIC"/>
    <n v="9612"/>
    <n v="1700"/>
    <n v="17"/>
    <n v="0.54838709677419351"/>
  </r>
  <r>
    <s v="C693"/>
    <n v="44"/>
    <n v="32"/>
    <n v="10"/>
    <x v="0"/>
    <x v="1"/>
    <s v="WA"/>
    <n v="6819"/>
    <n v="1700"/>
    <n v="22"/>
    <n v="0.6875"/>
  </r>
  <r>
    <s v="C385"/>
    <n v="36"/>
    <n v="49"/>
    <n v="13"/>
    <x v="0"/>
    <x v="0"/>
    <s v="VIC"/>
    <n v="9223"/>
    <n v="1900"/>
    <n v="36"/>
    <n v="0.73469387755102045"/>
  </r>
  <r>
    <s v="C744"/>
    <n v="49"/>
    <n v="38"/>
    <n v="5"/>
    <x v="1"/>
    <x v="1"/>
    <s v="ACT"/>
    <n v="9714"/>
    <n v="1700"/>
    <n v="33"/>
    <n v="0.86842105263157898"/>
  </r>
  <r>
    <s v="C733"/>
    <n v="44"/>
    <n v="42"/>
    <n v="4"/>
    <x v="1"/>
    <x v="1"/>
    <s v="WA"/>
    <n v="8772"/>
    <n v="1700"/>
    <n v="38"/>
    <n v="0.90476190476190477"/>
  </r>
  <r>
    <s v="C608"/>
    <n v="42"/>
    <n v="39"/>
    <n v="10"/>
    <x v="1"/>
    <x v="1"/>
    <s v="QLD"/>
    <n v="6408"/>
    <n v="1700"/>
    <n v="29"/>
    <n v="0.74358974358974361"/>
  </r>
  <r>
    <s v="C307"/>
    <n v="38"/>
    <n v="42"/>
    <n v="10"/>
    <x v="0"/>
    <x v="1"/>
    <s v="QLD"/>
    <n v="9204"/>
    <n v="1700"/>
    <n v="32"/>
    <n v="0.76190476190476186"/>
  </r>
  <r>
    <s v="C352"/>
    <n v="38"/>
    <n v="29"/>
    <n v="9"/>
    <x v="0"/>
    <x v="1"/>
    <s v="QLD"/>
    <n v="9410"/>
    <n v="1700"/>
    <n v="20"/>
    <n v="0.68965517241379315"/>
  </r>
  <r>
    <s v="C588"/>
    <n v="26"/>
    <n v="40"/>
    <n v="12"/>
    <x v="1"/>
    <x v="0"/>
    <s v="NSW"/>
    <n v="8180"/>
    <n v="1700"/>
    <n v="28"/>
    <n v="0.7"/>
  </r>
  <r>
    <s v="C701"/>
    <n v="27"/>
    <n v="53"/>
    <n v="9"/>
    <x v="1"/>
    <x v="0"/>
    <s v="NSW"/>
    <n v="9826"/>
    <n v="1900"/>
    <n v="44"/>
    <n v="0.83018867924528306"/>
  </r>
  <r>
    <s v="C432"/>
    <n v="24"/>
    <n v="48"/>
    <n v="14"/>
    <x v="0"/>
    <x v="0"/>
    <s v="NSW"/>
    <n v="6768"/>
    <n v="1900"/>
    <n v="34"/>
    <n v="0.70833333333333337"/>
  </r>
  <r>
    <s v="C558"/>
    <n v="34"/>
    <n v="47"/>
    <n v="11"/>
    <x v="1"/>
    <x v="0"/>
    <s v="VIC"/>
    <n v="8063"/>
    <n v="1900"/>
    <n v="36"/>
    <n v="0.76595744680851063"/>
  </r>
  <r>
    <s v="C526"/>
    <n v="47"/>
    <n v="38"/>
    <n v="16"/>
    <x v="0"/>
    <x v="1"/>
    <s v="SA"/>
    <n v="7054"/>
    <n v="1700"/>
    <n v="22"/>
    <n v="0.57894736842105265"/>
  </r>
  <r>
    <s v="C486"/>
    <n v="37"/>
    <n v="54"/>
    <n v="11"/>
    <x v="0"/>
    <x v="0"/>
    <s v="VIC"/>
    <n v="54810"/>
    <n v="2500"/>
    <n v="43"/>
    <n v="0.79629629629629628"/>
  </r>
  <r>
    <s v="C546"/>
    <n v="30"/>
    <n v="43"/>
    <n v="13"/>
    <x v="0"/>
    <x v="0"/>
    <s v="VIC"/>
    <n v="7825"/>
    <n v="1700"/>
    <n v="30"/>
    <n v="0.69767441860465118"/>
  </r>
  <r>
    <s v="C569"/>
    <n v="36"/>
    <n v="49"/>
    <n v="10"/>
    <x v="1"/>
    <x v="0"/>
    <s v="VIC"/>
    <n v="6909"/>
    <n v="1900"/>
    <n v="39"/>
    <n v="0.79591836734693877"/>
  </r>
  <r>
    <s v="C566"/>
    <n v="43"/>
    <n v="49"/>
    <n v="13"/>
    <x v="0"/>
    <x v="1"/>
    <s v="QLD"/>
    <n v="8744"/>
    <n v="1900"/>
    <n v="36"/>
    <n v="0.73469387755102045"/>
  </r>
  <r>
    <s v="C514"/>
    <n v="32"/>
    <n v="29"/>
    <n v="10"/>
    <x v="1"/>
    <x v="1"/>
    <s v="VIC"/>
    <n v="9398"/>
    <n v="1700"/>
    <n v="19"/>
    <n v="0.65517241379310343"/>
  </r>
  <r>
    <s v="C311"/>
    <n v="45"/>
    <n v="57"/>
    <n v="13"/>
    <x v="0"/>
    <x v="1"/>
    <s v="WA"/>
    <n v="30357"/>
    <n v="2500"/>
    <n v="44"/>
    <n v="0.77192982456140347"/>
  </r>
  <r>
    <s v="C188"/>
    <n v="40"/>
    <n v="43"/>
    <n v="8"/>
    <x v="1"/>
    <x v="1"/>
    <s v="QLD"/>
    <n v="6186"/>
    <n v="1700"/>
    <n v="35"/>
    <n v="0.81395348837209303"/>
  </r>
  <r>
    <s v="C100"/>
    <n v="29"/>
    <n v="56"/>
    <n v="10"/>
    <x v="1"/>
    <x v="0"/>
    <s v="VIC"/>
    <n v="42569"/>
    <n v="2500"/>
    <n v="46"/>
    <n v="0.8214285714285714"/>
  </r>
  <r>
    <s v="C787"/>
    <n v="49"/>
    <n v="53"/>
    <n v="15"/>
    <x v="1"/>
    <x v="1"/>
    <s v="ACT"/>
    <n v="7167"/>
    <n v="1900"/>
    <n v="38"/>
    <n v="0.71698113207547165"/>
  </r>
  <r>
    <s v="C542"/>
    <n v="20"/>
    <n v="30"/>
    <n v="10"/>
    <x v="1"/>
    <x v="0"/>
    <s v="NSW"/>
    <n v="7941"/>
    <n v="1700"/>
    <n v="20"/>
    <n v="0.66666666666666663"/>
  </r>
  <r>
    <s v="C697"/>
    <n v="36"/>
    <n v="32"/>
    <n v="12"/>
    <x v="0"/>
    <x v="1"/>
    <s v="VIC"/>
    <n v="6443"/>
    <n v="1700"/>
    <n v="20"/>
    <n v="0.625"/>
  </r>
  <r>
    <s v="C798"/>
    <n v="25"/>
    <n v="47"/>
    <n v="5"/>
    <x v="1"/>
    <x v="0"/>
    <s v="NSW"/>
    <n v="6631"/>
    <n v="1900"/>
    <n v="42"/>
    <n v="0.8936170212765957"/>
  </r>
  <r>
    <s v="C502"/>
    <n v="45"/>
    <n v="54"/>
    <n v="6"/>
    <x v="0"/>
    <x v="0"/>
    <s v="WA"/>
    <n v="48624"/>
    <n v="2500"/>
    <n v="48"/>
    <n v="0.88888888888888884"/>
  </r>
  <r>
    <s v="C781"/>
    <n v="24"/>
    <n v="29"/>
    <n v="5"/>
    <x v="0"/>
    <x v="0"/>
    <s v="NSW"/>
    <n v="6797"/>
    <n v="1700"/>
    <n v="24"/>
    <n v="0.82758620689655171"/>
  </r>
  <r>
    <s v="C391"/>
    <n v="43"/>
    <n v="48"/>
    <n v="14"/>
    <x v="0"/>
    <x v="1"/>
    <s v="WA"/>
    <n v="8886"/>
    <n v="1900"/>
    <n v="34"/>
    <n v="0.70833333333333337"/>
  </r>
  <r>
    <s v="C441"/>
    <n v="39"/>
    <n v="36"/>
    <n v="10"/>
    <x v="1"/>
    <x v="1"/>
    <s v="QLD"/>
    <n v="6601"/>
    <n v="1700"/>
    <n v="26"/>
    <n v="0.72222222222222221"/>
  </r>
  <r>
    <s v="C646"/>
    <n v="34"/>
    <n v="31"/>
    <n v="12"/>
    <x v="1"/>
    <x v="1"/>
    <s v="VIC"/>
    <n v="6726"/>
    <n v="1700"/>
    <n v="19"/>
    <n v="0.61290322580645162"/>
  </r>
  <r>
    <s v="C654"/>
    <n v="31"/>
    <n v="31"/>
    <n v="5"/>
    <x v="0"/>
    <x v="1"/>
    <s v="VIC"/>
    <n v="6314"/>
    <n v="1700"/>
    <n v="26"/>
    <n v="0.83870967741935487"/>
  </r>
  <r>
    <s v="C600"/>
    <n v="45"/>
    <n v="25"/>
    <n v="13"/>
    <x v="0"/>
    <x v="1"/>
    <s v="WA"/>
    <n v="9809"/>
    <n v="1700"/>
    <n v="12"/>
    <n v="0.48"/>
  </r>
  <r>
    <s v="C145"/>
    <n v="31"/>
    <n v="35"/>
    <n v="16"/>
    <x v="0"/>
    <x v="1"/>
    <s v="VIC"/>
    <n v="9120"/>
    <n v="1700"/>
    <n v="19"/>
    <n v="0.54285714285714282"/>
  </r>
  <r>
    <s v="C457"/>
    <n v="43"/>
    <n v="47"/>
    <n v="7"/>
    <x v="1"/>
    <x v="1"/>
    <s v="WA"/>
    <n v="9091"/>
    <n v="1900"/>
    <n v="40"/>
    <n v="0.85106382978723405"/>
  </r>
  <r>
    <s v="C384"/>
    <n v="45"/>
    <n v="47"/>
    <n v="14"/>
    <x v="1"/>
    <x v="1"/>
    <s v="WA"/>
    <n v="6103"/>
    <n v="1900"/>
    <n v="33"/>
    <n v="0.7021276595744681"/>
  </r>
  <r>
    <s v="C679"/>
    <n v="27"/>
    <n v="35"/>
    <n v="14"/>
    <x v="0"/>
    <x v="1"/>
    <s v="NSW"/>
    <n v="8312"/>
    <n v="1700"/>
    <n v="21"/>
    <n v="0.6"/>
  </r>
  <r>
    <s v="C724"/>
    <n v="46"/>
    <n v="51"/>
    <n v="8"/>
    <x v="1"/>
    <x v="1"/>
    <s v="WA"/>
    <n v="8771"/>
    <n v="1900"/>
    <n v="43"/>
    <n v="0.84313725490196079"/>
  </r>
  <r>
    <s v="C615"/>
    <n v="20"/>
    <n v="41"/>
    <n v="16"/>
    <x v="1"/>
    <x v="0"/>
    <s v="NSW"/>
    <n v="6683"/>
    <n v="1700"/>
    <n v="25"/>
    <n v="0.6097560975609756"/>
  </r>
  <r>
    <s v="C379"/>
    <n v="49"/>
    <n v="59"/>
    <n v="16"/>
    <x v="1"/>
    <x v="1"/>
    <s v="ACT"/>
    <n v="48911"/>
    <n v="2700"/>
    <n v="43"/>
    <n v="0.72881355932203384"/>
  </r>
  <r>
    <s v="C606"/>
    <n v="37"/>
    <n v="58"/>
    <n v="8"/>
    <x v="1"/>
    <x v="0"/>
    <s v="QLD"/>
    <n v="30522"/>
    <n v="2700"/>
    <n v="50"/>
    <n v="0.86206896551724133"/>
  </r>
  <r>
    <s v="C474"/>
    <n v="27"/>
    <n v="36"/>
    <n v="14"/>
    <x v="1"/>
    <x v="1"/>
    <s v="NSW"/>
    <n v="6473"/>
    <n v="1700"/>
    <n v="22"/>
    <n v="0.61111111111111116"/>
  </r>
  <r>
    <s v="C604"/>
    <n v="28"/>
    <n v="31"/>
    <n v="10"/>
    <x v="0"/>
    <x v="1"/>
    <s v="NSW"/>
    <n v="7581"/>
    <n v="1700"/>
    <n v="21"/>
    <n v="0.67741935483870963"/>
  </r>
  <r>
    <s v="C556"/>
    <n v="37"/>
    <n v="31"/>
    <n v="12"/>
    <x v="1"/>
    <x v="1"/>
    <s v="QLD"/>
    <n v="6320"/>
    <n v="1700"/>
    <n v="19"/>
    <n v="0.61290322580645162"/>
  </r>
  <r>
    <s v="C478"/>
    <n v="24"/>
    <n v="49"/>
    <n v="11"/>
    <x v="1"/>
    <x v="0"/>
    <s v="NSW"/>
    <n v="8722"/>
    <n v="1900"/>
    <n v="38"/>
    <n v="0.77551020408163263"/>
  </r>
  <r>
    <s v="C743"/>
    <n v="43"/>
    <n v="39"/>
    <n v="11"/>
    <x v="1"/>
    <x v="1"/>
    <s v="QLD"/>
    <n v="9704"/>
    <n v="1700"/>
    <n v="28"/>
    <n v="0.71794871794871795"/>
  </r>
  <r>
    <s v="C219"/>
    <n v="50"/>
    <n v="58"/>
    <n v="9"/>
    <x v="1"/>
    <x v="1"/>
    <s v="NT"/>
    <n v="41230"/>
    <n v="2700"/>
    <n v="49"/>
    <n v="0.84482758620689657"/>
  </r>
  <r>
    <s v="C565"/>
    <n v="37"/>
    <n v="49"/>
    <n v="9"/>
    <x v="0"/>
    <x v="0"/>
    <s v="QLD"/>
    <n v="8332"/>
    <n v="1900"/>
    <n v="40"/>
    <n v="0.81632653061224492"/>
  </r>
  <r>
    <s v="C429"/>
    <n v="39"/>
    <n v="31"/>
    <n v="12"/>
    <x v="0"/>
    <x v="1"/>
    <s v="QLD"/>
    <n v="8476"/>
    <n v="1700"/>
    <n v="19"/>
    <n v="0.61290322580645162"/>
  </r>
  <r>
    <s v="C519"/>
    <n v="34"/>
    <n v="53"/>
    <n v="9"/>
    <x v="0"/>
    <x v="0"/>
    <s v="VIC"/>
    <n v="7748"/>
    <n v="1900"/>
    <n v="44"/>
    <n v="0.83018867924528306"/>
  </r>
  <r>
    <s v="C605"/>
    <n v="48"/>
    <n v="26"/>
    <n v="9"/>
    <x v="1"/>
    <x v="1"/>
    <s v="SA"/>
    <n v="6936"/>
    <n v="1700"/>
    <n v="17"/>
    <n v="0.65384615384615385"/>
  </r>
  <r>
    <s v="C620"/>
    <n v="20"/>
    <n v="41"/>
    <n v="5"/>
    <x v="0"/>
    <x v="0"/>
    <s v="NSW"/>
    <n v="7081"/>
    <n v="1700"/>
    <n v="36"/>
    <n v="0.87804878048780488"/>
  </r>
  <r>
    <s v="C491"/>
    <n v="22"/>
    <n v="55"/>
    <n v="6"/>
    <x v="1"/>
    <x v="0"/>
    <s v="NSW"/>
    <n v="28031"/>
    <n v="2500"/>
    <n v="49"/>
    <n v="0.89090909090909087"/>
  </r>
  <r>
    <s v="C715"/>
    <n v="47"/>
    <n v="45"/>
    <n v="12"/>
    <x v="0"/>
    <x v="1"/>
    <s v="WA"/>
    <n v="7253"/>
    <n v="1900"/>
    <n v="33"/>
    <n v="0.73333333333333328"/>
  </r>
  <r>
    <s v="C386"/>
    <n v="29"/>
    <n v="39"/>
    <n v="4"/>
    <x v="0"/>
    <x v="0"/>
    <s v="NSW"/>
    <n v="7388"/>
    <n v="1700"/>
    <n v="35"/>
    <n v="0.89743589743589747"/>
  </r>
  <r>
    <s v="C641"/>
    <n v="29"/>
    <n v="58"/>
    <n v="9"/>
    <x v="1"/>
    <x v="0"/>
    <s v="VIC"/>
    <n v="47339"/>
    <n v="2700"/>
    <n v="49"/>
    <n v="0.84482758620689657"/>
  </r>
  <r>
    <s v="C155"/>
    <n v="31"/>
    <n v="49"/>
    <n v="8"/>
    <x v="0"/>
    <x v="0"/>
    <s v="VIC"/>
    <n v="8301"/>
    <n v="1900"/>
    <n v="41"/>
    <n v="0.83673469387755106"/>
  </r>
  <r>
    <s v="C325"/>
    <n v="33"/>
    <n v="27"/>
    <n v="8"/>
    <x v="0"/>
    <x v="1"/>
    <s v="VIC"/>
    <n v="9369"/>
    <n v="1700"/>
    <n v="19"/>
    <n v="0.70370370370370372"/>
  </r>
  <r>
    <s v="C139"/>
    <n v="26"/>
    <n v="32"/>
    <n v="5"/>
    <x v="0"/>
    <x v="0"/>
    <s v="NSW"/>
    <n v="6570"/>
    <n v="1700"/>
    <n v="27"/>
    <n v="0.84375"/>
  </r>
  <r>
    <s v="C769"/>
    <n v="36"/>
    <n v="30"/>
    <n v="13"/>
    <x v="1"/>
    <x v="1"/>
    <s v="VIC"/>
    <n v="7214"/>
    <n v="1700"/>
    <n v="17"/>
    <n v="0.56666666666666665"/>
  </r>
  <r>
    <s v="C508"/>
    <n v="23"/>
    <n v="51"/>
    <n v="15"/>
    <x v="0"/>
    <x v="0"/>
    <s v="NSW"/>
    <n v="6831"/>
    <n v="1900"/>
    <n v="36"/>
    <n v="0.70588235294117652"/>
  </r>
  <r>
    <s v="C140"/>
    <n v="36"/>
    <n v="41"/>
    <n v="13"/>
    <x v="0"/>
    <x v="1"/>
    <s v="VIC"/>
    <n v="7789"/>
    <n v="1700"/>
    <n v="28"/>
    <n v="0.68292682926829273"/>
  </r>
  <r>
    <s v="C123"/>
    <n v="34"/>
    <n v="47"/>
    <n v="10"/>
    <x v="0"/>
    <x v="0"/>
    <s v="VIC"/>
    <n v="7663"/>
    <n v="1900"/>
    <n v="37"/>
    <n v="0.78723404255319152"/>
  </r>
  <r>
    <s v="C746"/>
    <n v="47"/>
    <n v="34"/>
    <n v="8"/>
    <x v="0"/>
    <x v="1"/>
    <s v="SA"/>
    <n v="8615"/>
    <n v="1700"/>
    <n v="26"/>
    <n v="0.76470588235294112"/>
  </r>
  <r>
    <s v="C741"/>
    <n v="41"/>
    <n v="52"/>
    <n v="11"/>
    <x v="0"/>
    <x v="0"/>
    <s v="QLD"/>
    <n v="7114"/>
    <n v="1900"/>
    <n v="41"/>
    <n v="0.78846153846153844"/>
  </r>
  <r>
    <s v="C244"/>
    <n v="40"/>
    <n v="52"/>
    <n v="6"/>
    <x v="1"/>
    <x v="0"/>
    <s v="QLD"/>
    <n v="9295"/>
    <n v="1900"/>
    <n v="46"/>
    <n v="0.88461538461538458"/>
  </r>
  <r>
    <s v="C264"/>
    <n v="27"/>
    <n v="51"/>
    <n v="9"/>
    <x v="0"/>
    <x v="0"/>
    <s v="NSW"/>
    <n v="9555"/>
    <n v="1900"/>
    <n v="42"/>
    <n v="0.82352941176470584"/>
  </r>
  <r>
    <s v="C298"/>
    <n v="21"/>
    <n v="41"/>
    <n v="7"/>
    <x v="1"/>
    <x v="0"/>
    <s v="NSW"/>
    <n v="9184"/>
    <n v="1700"/>
    <n v="34"/>
    <n v="0.82926829268292679"/>
  </r>
  <r>
    <s v="C173"/>
    <n v="46"/>
    <n v="46"/>
    <n v="10"/>
    <x v="1"/>
    <x v="1"/>
    <s v="WA"/>
    <n v="9954"/>
    <n v="1900"/>
    <n v="36"/>
    <n v="0.78260869565217395"/>
  </r>
  <r>
    <s v="C350"/>
    <n v="26"/>
    <n v="40"/>
    <n v="8"/>
    <x v="0"/>
    <x v="0"/>
    <s v="NSW"/>
    <n v="9937"/>
    <n v="1700"/>
    <n v="32"/>
    <n v="0.8"/>
  </r>
  <r>
    <s v="C584"/>
    <n v="40"/>
    <n v="58"/>
    <n v="10"/>
    <x v="1"/>
    <x v="0"/>
    <s v="QLD"/>
    <n v="13911"/>
    <n v="2700"/>
    <n v="48"/>
    <n v="0.82758620689655171"/>
  </r>
  <r>
    <s v="C797"/>
    <n v="23"/>
    <n v="25"/>
    <n v="11"/>
    <x v="1"/>
    <x v="1"/>
    <s v="NSW"/>
    <n v="8313"/>
    <n v="1700"/>
    <n v="14"/>
    <n v="0.56000000000000005"/>
  </r>
  <r>
    <s v="C673"/>
    <n v="46"/>
    <n v="42"/>
    <n v="11"/>
    <x v="0"/>
    <x v="1"/>
    <s v="WA"/>
    <n v="8170"/>
    <n v="1700"/>
    <n v="31"/>
    <n v="0.73809523809523814"/>
  </r>
  <r>
    <s v="C503"/>
    <n v="43"/>
    <n v="56"/>
    <n v="8"/>
    <x v="0"/>
    <x v="0"/>
    <s v="WA"/>
    <n v="31395"/>
    <n v="2500"/>
    <n v="48"/>
    <n v="0.8571428571428571"/>
  </r>
  <r>
    <s v="C796"/>
    <n v="50"/>
    <n v="46"/>
    <n v="12"/>
    <x v="1"/>
    <x v="1"/>
    <s v="NT"/>
    <n v="8769"/>
    <n v="1900"/>
    <n v="34"/>
    <n v="0.73913043478260865"/>
  </r>
  <r>
    <s v="C125"/>
    <n v="44"/>
    <n v="40"/>
    <n v="13"/>
    <x v="0"/>
    <x v="1"/>
    <s v="WA"/>
    <n v="6787"/>
    <n v="1700"/>
    <n v="27"/>
    <n v="0.67500000000000004"/>
  </r>
  <r>
    <s v="C767"/>
    <n v="25"/>
    <n v="53"/>
    <n v="10"/>
    <x v="1"/>
    <x v="0"/>
    <s v="NSW"/>
    <n v="9338"/>
    <n v="1900"/>
    <n v="43"/>
    <n v="0.81132075471698117"/>
  </r>
  <r>
    <s v="C226"/>
    <n v="37"/>
    <n v="41"/>
    <n v="5"/>
    <x v="0"/>
    <x v="1"/>
    <s v="QLD"/>
    <n v="7365"/>
    <n v="1700"/>
    <n v="36"/>
    <n v="0.87804878048780488"/>
  </r>
  <r>
    <s v="C627"/>
    <n v="37"/>
    <n v="29"/>
    <n v="6"/>
    <x v="0"/>
    <x v="1"/>
    <s v="QLD"/>
    <n v="6512"/>
    <n v="1700"/>
    <n v="23"/>
    <n v="0.7931034482758621"/>
  </r>
  <r>
    <s v="C492"/>
    <n v="25"/>
    <n v="52"/>
    <n v="10"/>
    <x v="0"/>
    <x v="0"/>
    <s v="NSW"/>
    <n v="9717"/>
    <n v="1900"/>
    <n v="42"/>
    <n v="0.80769230769230771"/>
  </r>
  <r>
    <s v="C602"/>
    <n v="23"/>
    <n v="32"/>
    <n v="8"/>
    <x v="1"/>
    <x v="0"/>
    <s v="NSW"/>
    <n v="7133"/>
    <n v="1700"/>
    <n v="24"/>
    <n v="0.75"/>
  </r>
  <r>
    <s v="C377"/>
    <n v="26"/>
    <n v="28"/>
    <n v="9"/>
    <x v="1"/>
    <x v="1"/>
    <s v="NSW"/>
    <n v="7944"/>
    <n v="1700"/>
    <n v="19"/>
    <n v="0.6785714285714286"/>
  </r>
  <r>
    <s v="C609"/>
    <n v="33"/>
    <n v="37"/>
    <n v="6"/>
    <x v="0"/>
    <x v="1"/>
    <s v="VIC"/>
    <n v="8346"/>
    <n v="1700"/>
    <n v="31"/>
    <n v="0.83783783783783783"/>
  </r>
  <r>
    <s v="C464"/>
    <n v="40"/>
    <n v="52"/>
    <n v="5"/>
    <x v="0"/>
    <x v="0"/>
    <s v="QLD"/>
    <n v="7369"/>
    <n v="1900"/>
    <n v="47"/>
    <n v="0.90384615384615385"/>
  </r>
  <r>
    <s v="C612"/>
    <n v="21"/>
    <n v="40"/>
    <n v="11"/>
    <x v="1"/>
    <x v="0"/>
    <s v="NSW"/>
    <n v="9866"/>
    <n v="1700"/>
    <n v="29"/>
    <n v="0.72499999999999998"/>
  </r>
  <r>
    <s v="C316"/>
    <n v="47"/>
    <n v="40"/>
    <n v="4"/>
    <x v="1"/>
    <x v="1"/>
    <s v="WA"/>
    <n v="9311"/>
    <n v="1700"/>
    <n v="36"/>
    <n v="0.9"/>
  </r>
  <r>
    <s v="C536"/>
    <n v="30"/>
    <n v="43"/>
    <n v="8"/>
    <x v="1"/>
    <x v="0"/>
    <s v="VIC"/>
    <n v="7822"/>
    <n v="1700"/>
    <n v="35"/>
    <n v="0.81395348837209303"/>
  </r>
  <r>
    <s v="C726"/>
    <n v="27"/>
    <n v="47"/>
    <n v="11"/>
    <x v="1"/>
    <x v="0"/>
    <s v="NSW"/>
    <n v="7690"/>
    <n v="1900"/>
    <n v="36"/>
    <n v="0.76595744680851063"/>
  </r>
  <r>
    <s v="C149"/>
    <n v="37"/>
    <n v="38"/>
    <n v="17"/>
    <x v="0"/>
    <x v="1"/>
    <s v="QLD"/>
    <n v="7590"/>
    <n v="1700"/>
    <n v="21"/>
    <n v="0.55263157894736847"/>
  </r>
  <r>
    <s v="C320"/>
    <n v="30"/>
    <n v="48"/>
    <n v="8"/>
    <x v="1"/>
    <x v="0"/>
    <s v="VIC"/>
    <n v="6569"/>
    <n v="1900"/>
    <n v="40"/>
    <n v="0.83333333333333337"/>
  </r>
  <r>
    <s v="C511"/>
    <n v="34"/>
    <n v="55"/>
    <n v="7"/>
    <x v="1"/>
    <x v="0"/>
    <s v="VIC"/>
    <n v="27198"/>
    <n v="2500"/>
    <n v="48"/>
    <n v="0.87272727272727268"/>
  </r>
  <r>
    <s v="C533"/>
    <n v="30"/>
    <n v="37"/>
    <n v="6"/>
    <x v="0"/>
    <x v="0"/>
    <s v="VIC"/>
    <n v="6523"/>
    <n v="1700"/>
    <n v="31"/>
    <n v="0.83783783783783783"/>
  </r>
  <r>
    <s v="C107"/>
    <n v="37"/>
    <n v="51"/>
    <n v="5"/>
    <x v="1"/>
    <x v="0"/>
    <s v="QLD"/>
    <n v="9317"/>
    <n v="1900"/>
    <n v="46"/>
    <n v="0.90196078431372551"/>
  </r>
  <r>
    <s v="C204"/>
    <n v="46"/>
    <n v="29"/>
    <n v="11"/>
    <x v="1"/>
    <x v="1"/>
    <s v="WA"/>
    <n v="6722"/>
    <n v="1700"/>
    <n v="18"/>
    <n v="0.62068965517241381"/>
  </r>
  <r>
    <s v="C113"/>
    <n v="36"/>
    <n v="42"/>
    <n v="8"/>
    <x v="0"/>
    <x v="1"/>
    <s v="VIC"/>
    <n v="6936"/>
    <n v="1700"/>
    <n v="34"/>
    <n v="0.80952380952380953"/>
  </r>
  <r>
    <s v="C430"/>
    <n v="39"/>
    <n v="29"/>
    <n v="16"/>
    <x v="1"/>
    <x v="1"/>
    <s v="QLD"/>
    <n v="7587"/>
    <n v="1700"/>
    <n v="13"/>
    <n v="0.44827586206896552"/>
  </r>
  <r>
    <s v="C687"/>
    <n v="24"/>
    <n v="54"/>
    <n v="11"/>
    <x v="1"/>
    <x v="0"/>
    <s v="NSW"/>
    <n v="22153"/>
    <n v="2500"/>
    <n v="43"/>
    <n v="0.79629629629629628"/>
  </r>
  <r>
    <s v="C570"/>
    <n v="32"/>
    <n v="52"/>
    <n v="11"/>
    <x v="0"/>
    <x v="0"/>
    <s v="VIC"/>
    <n v="9119"/>
    <n v="1900"/>
    <n v="41"/>
    <n v="0.78846153846153844"/>
  </r>
  <r>
    <s v="C160"/>
    <n v="29"/>
    <n v="47"/>
    <n v="11"/>
    <x v="1"/>
    <x v="0"/>
    <s v="VIC"/>
    <n v="9931"/>
    <n v="1900"/>
    <n v="36"/>
    <n v="0.76595744680851063"/>
  </r>
  <r>
    <s v="C663"/>
    <n v="25"/>
    <n v="36"/>
    <n v="9"/>
    <x v="0"/>
    <x v="0"/>
    <s v="NSW"/>
    <n v="6728"/>
    <n v="1700"/>
    <n v="27"/>
    <n v="0.75"/>
  </r>
  <r>
    <s v="C638"/>
    <n v="49"/>
    <n v="26"/>
    <n v="11"/>
    <x v="0"/>
    <x v="1"/>
    <s v="ACT"/>
    <n v="7524"/>
    <n v="1700"/>
    <n v="15"/>
    <n v="0.57692307692307687"/>
  </r>
  <r>
    <s v="C649"/>
    <n v="43"/>
    <n v="81"/>
    <n v="9"/>
    <x v="1"/>
    <x v="0"/>
    <s v="WA"/>
    <n v="44959"/>
    <n v="2500"/>
    <n v="72"/>
    <n v="0.88888888888888884"/>
  </r>
  <r>
    <s v="C105"/>
    <n v="43"/>
    <n v="57"/>
    <n v="12"/>
    <x v="1"/>
    <x v="0"/>
    <s v="QLD"/>
    <n v="23702"/>
    <n v="2700"/>
    <n v="45"/>
    <n v="0.78947368421052633"/>
  </r>
  <r>
    <s v="C374"/>
    <n v="40"/>
    <n v="25"/>
    <n v="6"/>
    <x v="0"/>
    <x v="1"/>
    <s v="QLD"/>
    <n v="7596"/>
    <n v="1700"/>
    <n v="19"/>
    <n v="0.76"/>
  </r>
  <r>
    <s v="C240"/>
    <n v="27"/>
    <n v="30"/>
    <n v="11"/>
    <x v="1"/>
    <x v="1"/>
    <s v="NSW"/>
    <n v="9440"/>
    <n v="1700"/>
    <n v="19"/>
    <n v="0.6333333333333333"/>
  </r>
  <r>
    <s v="C689"/>
    <n v="25"/>
    <n v="44"/>
    <n v="10"/>
    <x v="0"/>
    <x v="0"/>
    <s v="NSW"/>
    <n v="8598"/>
    <n v="1700"/>
    <n v="34"/>
    <n v="0.77272727272727271"/>
  </r>
  <r>
    <s v="C249"/>
    <n v="36"/>
    <n v="40"/>
    <n v="8"/>
    <x v="0"/>
    <x v="1"/>
    <s v="VIC"/>
    <n v="7063"/>
    <n v="1700"/>
    <n v="32"/>
    <n v="0.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1">
  <r>
    <s v="C524"/>
    <n v="39"/>
    <x v="0"/>
    <n v="6"/>
    <s v="Q2 2023"/>
    <x v="0"/>
    <x v="0"/>
    <n v="18445"/>
    <n v="2500"/>
    <n v="50"/>
    <n v="0.8928571428571429"/>
  </r>
  <r>
    <s v="C624"/>
    <n v="22"/>
    <x v="1"/>
    <n v="7"/>
    <s v="Q1 2023"/>
    <x v="0"/>
    <x v="1"/>
    <n v="40535"/>
    <n v="2500"/>
    <n v="48"/>
    <n v="0.87272727272727268"/>
  </r>
  <r>
    <s v="C460"/>
    <n v="36"/>
    <x v="2"/>
    <n v="7"/>
    <s v="Q1 2023"/>
    <x v="0"/>
    <x v="2"/>
    <n v="6146"/>
    <n v="1900"/>
    <n v="44"/>
    <n v="0.86274509803921573"/>
  </r>
  <r>
    <s v="C708"/>
    <n v="48"/>
    <x v="3"/>
    <n v="10"/>
    <s v="Q1 2023"/>
    <x v="1"/>
    <x v="3"/>
    <n v="9151"/>
    <n v="1900"/>
    <n v="40"/>
    <n v="0.8"/>
  </r>
  <r>
    <s v="C647"/>
    <n v="23"/>
    <x v="4"/>
    <n v="18"/>
    <s v="Q2 2023"/>
    <x v="1"/>
    <x v="1"/>
    <n v="9308"/>
    <n v="1700"/>
    <n v="21"/>
    <n v="0.53846153846153844"/>
  </r>
  <r>
    <s v="C713"/>
    <n v="38"/>
    <x v="5"/>
    <n v="15"/>
    <s v="Q2 2023"/>
    <x v="0"/>
    <x v="0"/>
    <n v="58430"/>
    <n v="2500"/>
    <n v="69"/>
    <n v="0.8214285714285714"/>
  </r>
  <r>
    <s v="C308"/>
    <n v="31"/>
    <x v="1"/>
    <n v="10"/>
    <s v="Q1 2023"/>
    <x v="0"/>
    <x v="2"/>
    <n v="38603"/>
    <n v="2500"/>
    <n v="45"/>
    <n v="0.81818181818181823"/>
  </r>
  <r>
    <s v="C494"/>
    <n v="38"/>
    <x v="6"/>
    <n v="8"/>
    <s v="Q1 2023"/>
    <x v="1"/>
    <x v="0"/>
    <n v="9545"/>
    <n v="1700"/>
    <n v="36"/>
    <n v="0.81818181818181823"/>
  </r>
  <r>
    <s v="C656"/>
    <n v="30"/>
    <x v="4"/>
    <n v="10"/>
    <s v="Q2 2023"/>
    <x v="1"/>
    <x v="2"/>
    <n v="9357"/>
    <n v="1700"/>
    <n v="29"/>
    <n v="0.74358974358974361"/>
  </r>
  <r>
    <s v="C280"/>
    <n v="44"/>
    <x v="7"/>
    <n v="15"/>
    <s v="Q1 2023"/>
    <x v="1"/>
    <x v="4"/>
    <n v="8389"/>
    <n v="1700"/>
    <n v="11"/>
    <n v="0.42307692307692307"/>
  </r>
  <r>
    <s v="C738"/>
    <n v="34"/>
    <x v="8"/>
    <n v="13"/>
    <s v="Q1 2023"/>
    <x v="1"/>
    <x v="2"/>
    <n v="8953"/>
    <n v="1700"/>
    <n v="16"/>
    <n v="0.55172413793103448"/>
  </r>
  <r>
    <s v="C164"/>
    <n v="49"/>
    <x v="9"/>
    <n v="9"/>
    <s v="Q2 2023"/>
    <x v="1"/>
    <x v="5"/>
    <n v="7927"/>
    <n v="1900"/>
    <n v="36"/>
    <n v="0.8"/>
  </r>
  <r>
    <s v="C631"/>
    <n v="37"/>
    <x v="10"/>
    <n v="13"/>
    <s v="Q2 2023"/>
    <x v="1"/>
    <x v="0"/>
    <n v="9755"/>
    <n v="1900"/>
    <n v="36"/>
    <n v="0.73469387755102045"/>
  </r>
  <r>
    <s v="C721"/>
    <n v="21"/>
    <x v="11"/>
    <n v="9"/>
    <s v="Q2 2023"/>
    <x v="0"/>
    <x v="1"/>
    <n v="59732"/>
    <n v="2500"/>
    <n v="80"/>
    <n v="0.898876404494382"/>
  </r>
  <r>
    <s v="C535"/>
    <n v="49"/>
    <x v="12"/>
    <n v="10"/>
    <s v="Q2 2023"/>
    <x v="1"/>
    <x v="6"/>
    <n v="8535"/>
    <n v="1700"/>
    <n v="20"/>
    <n v="0.66666666666666663"/>
  </r>
  <r>
    <s v="C621"/>
    <n v="37"/>
    <x v="0"/>
    <n v="9"/>
    <s v="Q2 2023"/>
    <x v="0"/>
    <x v="0"/>
    <n v="44664"/>
    <n v="2500"/>
    <n v="47"/>
    <n v="0.8392857142857143"/>
  </r>
  <r>
    <s v="C454"/>
    <n v="50"/>
    <x v="4"/>
    <n v="13"/>
    <s v="Q1 2023"/>
    <x v="1"/>
    <x v="7"/>
    <n v="8255"/>
    <n v="1700"/>
    <n v="26"/>
    <n v="0.66666666666666663"/>
  </r>
  <r>
    <s v="C772"/>
    <n v="49"/>
    <x v="0"/>
    <n v="3"/>
    <s v="Q2 2023"/>
    <x v="0"/>
    <x v="5"/>
    <n v="13319"/>
    <n v="2500"/>
    <n v="53"/>
    <n v="0.9464285714285714"/>
  </r>
  <r>
    <s v="C406"/>
    <n v="44"/>
    <x v="8"/>
    <n v="16"/>
    <s v="Q1 2023"/>
    <x v="1"/>
    <x v="4"/>
    <n v="6941"/>
    <n v="1700"/>
    <n v="13"/>
    <n v="0.44827586206896552"/>
  </r>
  <r>
    <s v="C196"/>
    <n v="44"/>
    <x v="13"/>
    <n v="6"/>
    <s v="Q1 2023"/>
    <x v="1"/>
    <x v="4"/>
    <n v="9539"/>
    <n v="1700"/>
    <n v="36"/>
    <n v="0.8571428571428571"/>
  </r>
  <r>
    <s v="C574"/>
    <n v="50"/>
    <x v="14"/>
    <n v="12"/>
    <s v="Q2 2023"/>
    <x v="1"/>
    <x v="6"/>
    <n v="8342"/>
    <n v="1700"/>
    <n v="22"/>
    <n v="0.6470588235294118"/>
  </r>
  <r>
    <s v="C672"/>
    <n v="48"/>
    <x v="6"/>
    <n v="9"/>
    <s v="Q2 2023"/>
    <x v="1"/>
    <x v="3"/>
    <n v="9850"/>
    <n v="1700"/>
    <n v="35"/>
    <n v="0.79545454545454541"/>
  </r>
  <r>
    <s v="C450"/>
    <n v="27"/>
    <x v="15"/>
    <n v="11"/>
    <s v="Q1 2023"/>
    <x v="0"/>
    <x v="1"/>
    <n v="7566"/>
    <n v="1900"/>
    <n v="42"/>
    <n v="0.79245283018867929"/>
  </r>
  <r>
    <s v="C699"/>
    <n v="33"/>
    <x v="10"/>
    <n v="12"/>
    <s v="Q1 2023"/>
    <x v="0"/>
    <x v="2"/>
    <n v="7221"/>
    <n v="1900"/>
    <n v="37"/>
    <n v="0.75510204081632648"/>
  </r>
  <r>
    <s v="C760"/>
    <n v="24"/>
    <x v="16"/>
    <n v="12"/>
    <s v="Q2 2023"/>
    <x v="0"/>
    <x v="1"/>
    <n v="9149"/>
    <n v="1700"/>
    <n v="24"/>
    <n v="0.66666666666666663"/>
  </r>
  <r>
    <s v="C174"/>
    <n v="22"/>
    <x v="14"/>
    <n v="10"/>
    <s v="Q2 2023"/>
    <x v="0"/>
    <x v="1"/>
    <n v="7358"/>
    <n v="1700"/>
    <n v="24"/>
    <n v="0.70588235294117652"/>
  </r>
  <r>
    <s v="C344"/>
    <n v="36"/>
    <x v="17"/>
    <n v="5"/>
    <s v="Q1 2023"/>
    <x v="0"/>
    <x v="2"/>
    <n v="9657"/>
    <n v="1700"/>
    <n v="38"/>
    <n v="0.88372093023255816"/>
  </r>
  <r>
    <s v="C382"/>
    <n v="24"/>
    <x v="15"/>
    <n v="11"/>
    <s v="Q1 2023"/>
    <x v="0"/>
    <x v="1"/>
    <n v="7431"/>
    <n v="1900"/>
    <n v="42"/>
    <n v="0.79245283018867929"/>
  </r>
  <r>
    <s v="C419"/>
    <n v="25"/>
    <x v="13"/>
    <n v="13"/>
    <s v="Q2 2023"/>
    <x v="0"/>
    <x v="1"/>
    <n v="7250"/>
    <n v="1700"/>
    <n v="29"/>
    <n v="0.69047619047619047"/>
  </r>
  <r>
    <s v="C640"/>
    <n v="42"/>
    <x v="1"/>
    <n v="5"/>
    <s v="Q1 2023"/>
    <x v="0"/>
    <x v="0"/>
    <n v="50859"/>
    <n v="2500"/>
    <n v="50"/>
    <n v="0.90909090909090906"/>
  </r>
  <r>
    <s v="C317"/>
    <n v="43"/>
    <x v="18"/>
    <n v="8"/>
    <s v="Q2 2023"/>
    <x v="1"/>
    <x v="0"/>
    <n v="9122"/>
    <n v="1700"/>
    <n v="23"/>
    <n v="0.74193548387096775"/>
  </r>
  <r>
    <s v="C336"/>
    <n v="41"/>
    <x v="19"/>
    <n v="7"/>
    <s v="Q2 2023"/>
    <x v="1"/>
    <x v="0"/>
    <n v="9741"/>
    <n v="1900"/>
    <n v="40"/>
    <n v="0.85106382978723405"/>
  </r>
  <r>
    <s v="C309"/>
    <n v="40"/>
    <x v="8"/>
    <n v="5"/>
    <s v="Q2 2023"/>
    <x v="1"/>
    <x v="0"/>
    <n v="6948"/>
    <n v="1700"/>
    <n v="24"/>
    <n v="0.82758620689655171"/>
  </r>
  <r>
    <s v="C163"/>
    <n v="30"/>
    <x v="20"/>
    <n v="9"/>
    <s v="Q2 2023"/>
    <x v="0"/>
    <x v="2"/>
    <n v="25397"/>
    <n v="2700"/>
    <n v="50"/>
    <n v="0.84745762711864403"/>
  </r>
  <r>
    <s v="C461"/>
    <n v="29"/>
    <x v="3"/>
    <n v="20"/>
    <s v="Q1 2023"/>
    <x v="0"/>
    <x v="2"/>
    <n v="9534"/>
    <n v="1900"/>
    <n v="30"/>
    <n v="0.6"/>
  </r>
  <r>
    <s v="C628"/>
    <n v="34"/>
    <x v="21"/>
    <n v="6"/>
    <s v="Q1 2023"/>
    <x v="1"/>
    <x v="2"/>
    <n v="9912"/>
    <n v="1700"/>
    <n v="32"/>
    <n v="0.84210526315789469"/>
  </r>
  <r>
    <s v="C759"/>
    <n v="38"/>
    <x v="22"/>
    <n v="10"/>
    <s v="Q1 2023"/>
    <x v="1"/>
    <x v="0"/>
    <n v="7869"/>
    <n v="1700"/>
    <n v="22"/>
    <n v="0.6875"/>
  </r>
  <r>
    <s v="C463"/>
    <n v="24"/>
    <x v="12"/>
    <n v="10"/>
    <s v="Q1 2023"/>
    <x v="1"/>
    <x v="1"/>
    <n v="9097"/>
    <n v="1700"/>
    <n v="20"/>
    <n v="0.66666666666666663"/>
  </r>
  <r>
    <s v="C203"/>
    <n v="48"/>
    <x v="1"/>
    <n v="7"/>
    <s v="Q1 2023"/>
    <x v="0"/>
    <x v="3"/>
    <n v="22370"/>
    <n v="2500"/>
    <n v="48"/>
    <n v="0.87272727272727268"/>
  </r>
  <r>
    <s v="C245"/>
    <n v="28"/>
    <x v="3"/>
    <n v="7"/>
    <s v="Q1 2023"/>
    <x v="0"/>
    <x v="1"/>
    <n v="8363"/>
    <n v="1900"/>
    <n v="43"/>
    <n v="0.86"/>
  </r>
  <r>
    <s v="C562"/>
    <n v="29"/>
    <x v="23"/>
    <n v="10"/>
    <s v="Q2 2023"/>
    <x v="1"/>
    <x v="2"/>
    <n v="9242"/>
    <n v="1700"/>
    <n v="23"/>
    <n v="0.69696969696969702"/>
  </r>
  <r>
    <s v="C442"/>
    <n v="49"/>
    <x v="21"/>
    <n v="10"/>
    <s v="Q2 2023"/>
    <x v="1"/>
    <x v="5"/>
    <n v="9026"/>
    <n v="1700"/>
    <n v="28"/>
    <n v="0.73684210526315785"/>
  </r>
  <r>
    <s v="C776"/>
    <n v="28"/>
    <x v="24"/>
    <n v="8"/>
    <s v="Q1 2023"/>
    <x v="1"/>
    <x v="1"/>
    <n v="9015"/>
    <n v="1700"/>
    <n v="17"/>
    <n v="0.68"/>
  </r>
  <r>
    <s v="C271"/>
    <n v="45"/>
    <x v="25"/>
    <n v="6"/>
    <s v="Q2 2023"/>
    <x v="1"/>
    <x v="4"/>
    <n v="9319"/>
    <n v="1700"/>
    <n v="34"/>
    <n v="0.85"/>
  </r>
  <r>
    <s v="C373"/>
    <n v="26"/>
    <x v="15"/>
    <n v="11"/>
    <s v="Q1 2023"/>
    <x v="0"/>
    <x v="1"/>
    <n v="8105"/>
    <n v="1900"/>
    <n v="42"/>
    <n v="0.79245283018867929"/>
  </r>
  <r>
    <s v="C550"/>
    <n v="41"/>
    <x v="3"/>
    <n v="9"/>
    <s v="Q2 2023"/>
    <x v="0"/>
    <x v="0"/>
    <n v="7875"/>
    <n v="1900"/>
    <n v="41"/>
    <n v="0.82"/>
  </r>
  <r>
    <s v="C696"/>
    <n v="23"/>
    <x v="26"/>
    <n v="12"/>
    <s v="Q2 2023"/>
    <x v="0"/>
    <x v="1"/>
    <n v="7735"/>
    <n v="1700"/>
    <n v="23"/>
    <n v="0.65714285714285714"/>
  </r>
  <r>
    <s v="C777"/>
    <n v="31"/>
    <x v="27"/>
    <n v="10"/>
    <s v="Q1 2023"/>
    <x v="0"/>
    <x v="2"/>
    <n v="58191"/>
    <n v="2700"/>
    <n v="69"/>
    <n v="0.87341772151898733"/>
  </r>
  <r>
    <s v="C238"/>
    <n v="48"/>
    <x v="9"/>
    <n v="8"/>
    <s v="Q2 2023"/>
    <x v="1"/>
    <x v="3"/>
    <n v="8999"/>
    <n v="1900"/>
    <n v="37"/>
    <n v="0.82222222222222219"/>
  </r>
  <r>
    <s v="C425"/>
    <n v="25"/>
    <x v="28"/>
    <n v="9"/>
    <s v="Q2 2023"/>
    <x v="0"/>
    <x v="1"/>
    <n v="8194"/>
    <n v="1700"/>
    <n v="32"/>
    <n v="0.78048780487804881"/>
  </r>
  <r>
    <s v="C493"/>
    <n v="44"/>
    <x v="29"/>
    <n v="10"/>
    <s v="Q1 2023"/>
    <x v="0"/>
    <x v="4"/>
    <n v="17557"/>
    <n v="2500"/>
    <n v="44"/>
    <n v="0.81481481481481477"/>
  </r>
  <r>
    <s v="C794"/>
    <n v="34"/>
    <x v="26"/>
    <n v="5"/>
    <s v="Q1 2023"/>
    <x v="1"/>
    <x v="2"/>
    <n v="8796"/>
    <n v="1700"/>
    <n v="30"/>
    <n v="0.8571428571428571"/>
  </r>
  <r>
    <s v="C431"/>
    <n v="45"/>
    <x v="13"/>
    <n v="9"/>
    <s v="Q2 2023"/>
    <x v="1"/>
    <x v="4"/>
    <n v="7849"/>
    <n v="1700"/>
    <n v="33"/>
    <n v="0.7857142857142857"/>
  </r>
  <r>
    <s v="C348"/>
    <n v="27"/>
    <x v="25"/>
    <n v="13"/>
    <s v="Q1 2023"/>
    <x v="0"/>
    <x v="1"/>
    <n v="8839"/>
    <n v="1700"/>
    <n v="27"/>
    <n v="0.67500000000000004"/>
  </r>
  <r>
    <s v="C694"/>
    <n v="28"/>
    <x v="4"/>
    <n v="9"/>
    <s v="Q1 2023"/>
    <x v="0"/>
    <x v="1"/>
    <n v="6624"/>
    <n v="1700"/>
    <n v="30"/>
    <n v="0.76923076923076927"/>
  </r>
  <r>
    <s v="C349"/>
    <n v="29"/>
    <x v="17"/>
    <n v="12"/>
    <s v="Q2 2023"/>
    <x v="0"/>
    <x v="2"/>
    <n v="8337"/>
    <n v="1700"/>
    <n v="31"/>
    <n v="0.72093023255813948"/>
  </r>
  <r>
    <s v="C674"/>
    <n v="36"/>
    <x v="19"/>
    <n v="10"/>
    <s v="Q2 2023"/>
    <x v="0"/>
    <x v="2"/>
    <n v="7851"/>
    <n v="1900"/>
    <n v="37"/>
    <n v="0.78723404255319152"/>
  </r>
  <r>
    <s v="C773"/>
    <n v="48"/>
    <x v="3"/>
    <n v="6"/>
    <s v="Q2 2023"/>
    <x v="1"/>
    <x v="3"/>
    <n v="8173"/>
    <n v="1900"/>
    <n v="44"/>
    <n v="0.88"/>
  </r>
  <r>
    <s v="C182"/>
    <n v="42"/>
    <x v="0"/>
    <n v="13"/>
    <s v="Q1 2023"/>
    <x v="0"/>
    <x v="0"/>
    <n v="51428"/>
    <n v="2500"/>
    <n v="43"/>
    <n v="0.7678571428571429"/>
  </r>
  <r>
    <s v="C664"/>
    <n v="41"/>
    <x v="28"/>
    <n v="11"/>
    <s v="Q2 2023"/>
    <x v="1"/>
    <x v="0"/>
    <n v="9593"/>
    <n v="1700"/>
    <n v="30"/>
    <n v="0.73170731707317072"/>
  </r>
  <r>
    <s v="C192"/>
    <n v="50"/>
    <x v="16"/>
    <n v="11"/>
    <s v="Q2 2023"/>
    <x v="1"/>
    <x v="6"/>
    <n v="7207"/>
    <n v="1700"/>
    <n v="25"/>
    <n v="0.69444444444444442"/>
  </r>
  <r>
    <s v="C366"/>
    <n v="26"/>
    <x v="20"/>
    <n v="11"/>
    <s v="Q1 2023"/>
    <x v="0"/>
    <x v="1"/>
    <n v="28776"/>
    <n v="2700"/>
    <n v="48"/>
    <n v="0.81355932203389836"/>
  </r>
  <r>
    <s v="C682"/>
    <n v="24"/>
    <x v="30"/>
    <n v="11"/>
    <s v="Q1 2023"/>
    <x v="0"/>
    <x v="1"/>
    <n v="8926"/>
    <n v="1900"/>
    <n v="37"/>
    <n v="0.77083333333333337"/>
  </r>
  <r>
    <s v="C597"/>
    <n v="35"/>
    <x v="10"/>
    <n v="14"/>
    <s v="Q2 2023"/>
    <x v="0"/>
    <x v="2"/>
    <n v="7378"/>
    <n v="1900"/>
    <n v="35"/>
    <n v="0.7142857142857143"/>
  </r>
  <r>
    <s v="C341"/>
    <n v="47"/>
    <x v="9"/>
    <n v="12"/>
    <s v="Q2 2023"/>
    <x v="1"/>
    <x v="4"/>
    <n v="6819"/>
    <n v="1900"/>
    <n v="33"/>
    <n v="0.73333333333333328"/>
  </r>
  <r>
    <s v="C484"/>
    <n v="22"/>
    <x v="13"/>
    <n v="8"/>
    <s v="Q2 2023"/>
    <x v="0"/>
    <x v="1"/>
    <n v="6334"/>
    <n v="1700"/>
    <n v="34"/>
    <n v="0.80952380952380953"/>
  </r>
  <r>
    <s v="C293"/>
    <n v="30"/>
    <x v="26"/>
    <n v="10"/>
    <s v="Q1 2023"/>
    <x v="1"/>
    <x v="2"/>
    <n v="7261"/>
    <n v="1700"/>
    <n v="25"/>
    <n v="0.7142857142857143"/>
  </r>
  <r>
    <s v="C208"/>
    <n v="50"/>
    <x v="22"/>
    <n v="4"/>
    <s v="Q2 2023"/>
    <x v="1"/>
    <x v="7"/>
    <n v="9124"/>
    <n v="1700"/>
    <n v="28"/>
    <n v="0.875"/>
  </r>
  <r>
    <s v="C281"/>
    <n v="27"/>
    <x v="3"/>
    <n v="6"/>
    <s v="Q2 2023"/>
    <x v="0"/>
    <x v="1"/>
    <n v="8844"/>
    <n v="1900"/>
    <n v="44"/>
    <n v="0.88"/>
  </r>
  <r>
    <s v="C167"/>
    <n v="31"/>
    <x v="17"/>
    <n v="12"/>
    <s v="Q2 2023"/>
    <x v="0"/>
    <x v="2"/>
    <n v="8425"/>
    <n v="1700"/>
    <n v="31"/>
    <n v="0.72093023255813948"/>
  </r>
  <r>
    <s v="C614"/>
    <n v="47"/>
    <x v="2"/>
    <n v="15"/>
    <s v="Q2 2023"/>
    <x v="1"/>
    <x v="4"/>
    <n v="9545"/>
    <n v="1900"/>
    <n v="36"/>
    <n v="0.70588235294117652"/>
  </r>
  <r>
    <s v="C169"/>
    <n v="41"/>
    <x v="28"/>
    <n v="12"/>
    <s v="Q1 2023"/>
    <x v="1"/>
    <x v="0"/>
    <n v="8547"/>
    <n v="1700"/>
    <n v="29"/>
    <n v="0.70731707317073167"/>
  </r>
  <r>
    <s v="C422"/>
    <n v="33"/>
    <x v="16"/>
    <n v="6"/>
    <s v="Q2 2023"/>
    <x v="1"/>
    <x v="2"/>
    <n v="8902"/>
    <n v="1700"/>
    <n v="30"/>
    <n v="0.83333333333333337"/>
  </r>
  <r>
    <s v="C395"/>
    <n v="40"/>
    <x v="31"/>
    <n v="12"/>
    <s v="Q1 2023"/>
    <x v="0"/>
    <x v="0"/>
    <n v="7036"/>
    <n v="1900"/>
    <n v="40"/>
    <n v="0.76923076923076927"/>
  </r>
  <r>
    <s v="C686"/>
    <n v="38"/>
    <x v="32"/>
    <n v="9"/>
    <s v="Q1 2023"/>
    <x v="1"/>
    <x v="0"/>
    <n v="6901"/>
    <n v="1700"/>
    <n v="19"/>
    <n v="0.6785714285714286"/>
  </r>
  <r>
    <s v="C643"/>
    <n v="42"/>
    <x v="28"/>
    <n v="12"/>
    <s v="Q2 2023"/>
    <x v="1"/>
    <x v="0"/>
    <n v="7199"/>
    <n v="1700"/>
    <n v="29"/>
    <n v="0.70731707317073167"/>
  </r>
  <r>
    <s v="C324"/>
    <n v="21"/>
    <x v="8"/>
    <n v="7"/>
    <s v="Q2 2023"/>
    <x v="0"/>
    <x v="1"/>
    <n v="7965"/>
    <n v="1700"/>
    <n v="22"/>
    <n v="0.75862068965517238"/>
  </r>
  <r>
    <s v="C356"/>
    <n v="32"/>
    <x v="25"/>
    <n v="11"/>
    <s v="Q1 2023"/>
    <x v="1"/>
    <x v="2"/>
    <n v="6901"/>
    <n v="1700"/>
    <n v="29"/>
    <n v="0.72499999999999998"/>
  </r>
  <r>
    <s v="C507"/>
    <n v="26"/>
    <x v="30"/>
    <n v="12"/>
    <s v="Q1 2023"/>
    <x v="0"/>
    <x v="1"/>
    <n v="6125"/>
    <n v="1900"/>
    <n v="36"/>
    <n v="0.75"/>
  </r>
  <r>
    <s v="C591"/>
    <n v="26"/>
    <x v="33"/>
    <n v="11"/>
    <s v="Q1 2023"/>
    <x v="0"/>
    <x v="1"/>
    <n v="9655"/>
    <n v="1700"/>
    <n v="26"/>
    <n v="0.70270270270270274"/>
  </r>
  <r>
    <s v="C634"/>
    <n v="42"/>
    <x v="31"/>
    <n v="3"/>
    <s v="Q2 2023"/>
    <x v="0"/>
    <x v="0"/>
    <n v="8638"/>
    <n v="1900"/>
    <n v="49"/>
    <n v="0.94230769230769229"/>
  </r>
  <r>
    <s v="C456"/>
    <n v="32"/>
    <x v="4"/>
    <n v="12"/>
    <s v="Q2 2023"/>
    <x v="1"/>
    <x v="2"/>
    <n v="7789"/>
    <n v="1700"/>
    <n v="27"/>
    <n v="0.69230769230769229"/>
  </r>
  <r>
    <s v="C800"/>
    <n v="29"/>
    <x v="25"/>
    <n v="9"/>
    <s v="Q2 2023"/>
    <x v="0"/>
    <x v="2"/>
    <n v="9872"/>
    <n v="1700"/>
    <n v="31"/>
    <n v="0.77500000000000002"/>
  </r>
  <r>
    <s v="C523"/>
    <n v="24"/>
    <x v="34"/>
    <n v="13"/>
    <s v="Q2 2023"/>
    <x v="0"/>
    <x v="1"/>
    <n v="8372"/>
    <n v="1900"/>
    <n v="33"/>
    <n v="0.71739130434782605"/>
  </r>
  <r>
    <s v="C124"/>
    <n v="30"/>
    <x v="28"/>
    <n v="6"/>
    <s v="Q1 2023"/>
    <x v="0"/>
    <x v="2"/>
    <n v="6867"/>
    <n v="1700"/>
    <n v="35"/>
    <n v="0.85365853658536583"/>
  </r>
  <r>
    <s v="C515"/>
    <n v="37"/>
    <x v="19"/>
    <n v="11"/>
    <s v="Q1 2023"/>
    <x v="1"/>
    <x v="0"/>
    <n v="8007"/>
    <n v="1900"/>
    <n v="36"/>
    <n v="0.76595744680851063"/>
  </r>
  <r>
    <s v="C355"/>
    <n v="30"/>
    <x v="33"/>
    <n v="15"/>
    <s v="Q2 2023"/>
    <x v="1"/>
    <x v="2"/>
    <n v="8862"/>
    <n v="1700"/>
    <n v="22"/>
    <n v="0.59459459459459463"/>
  </r>
  <r>
    <s v="C459"/>
    <n v="23"/>
    <x v="25"/>
    <n v="9"/>
    <s v="Q2 2023"/>
    <x v="0"/>
    <x v="1"/>
    <n v="9265"/>
    <n v="1700"/>
    <n v="31"/>
    <n v="0.77500000000000002"/>
  </r>
  <r>
    <s v="C739"/>
    <n v="22"/>
    <x v="12"/>
    <n v="7"/>
    <s v="Q2 2023"/>
    <x v="0"/>
    <x v="1"/>
    <n v="6680"/>
    <n v="1700"/>
    <n v="23"/>
    <n v="0.76666666666666672"/>
  </r>
  <r>
    <s v="C303"/>
    <n v="29"/>
    <x v="10"/>
    <n v="9"/>
    <s v="Q1 2023"/>
    <x v="0"/>
    <x v="2"/>
    <n v="7577"/>
    <n v="1900"/>
    <n v="40"/>
    <n v="0.81632653061224492"/>
  </r>
  <r>
    <s v="C234"/>
    <n v="27"/>
    <x v="15"/>
    <n v="11"/>
    <s v="Q1 2023"/>
    <x v="0"/>
    <x v="1"/>
    <n v="8944"/>
    <n v="1900"/>
    <n v="42"/>
    <n v="0.79245283018867929"/>
  </r>
  <r>
    <s v="C314"/>
    <n v="47"/>
    <x v="25"/>
    <n v="7"/>
    <s v="Q1 2023"/>
    <x v="1"/>
    <x v="3"/>
    <n v="8372"/>
    <n v="1700"/>
    <n v="33"/>
    <n v="0.82499999999999996"/>
  </r>
  <r>
    <s v="C476"/>
    <n v="21"/>
    <x v="20"/>
    <n v="13"/>
    <s v="Q2 2023"/>
    <x v="0"/>
    <x v="1"/>
    <n v="24760"/>
    <n v="2700"/>
    <n v="46"/>
    <n v="0.77966101694915257"/>
  </r>
  <r>
    <s v="C549"/>
    <n v="41"/>
    <x v="10"/>
    <n v="9"/>
    <s v="Q2 2023"/>
    <x v="1"/>
    <x v="0"/>
    <n v="8641"/>
    <n v="1900"/>
    <n v="40"/>
    <n v="0.81632653061224492"/>
  </r>
  <r>
    <s v="C148"/>
    <n v="34"/>
    <x v="35"/>
    <n v="14"/>
    <s v="Q2 2023"/>
    <x v="0"/>
    <x v="2"/>
    <n v="46575"/>
    <n v="2700"/>
    <n v="43"/>
    <n v="0.75438596491228072"/>
  </r>
  <r>
    <s v="C200"/>
    <n v="44"/>
    <x v="9"/>
    <n v="8"/>
    <s v="Q1 2023"/>
    <x v="1"/>
    <x v="4"/>
    <n v="6158"/>
    <n v="1900"/>
    <n v="37"/>
    <n v="0.82222222222222219"/>
  </r>
  <r>
    <s v="C294"/>
    <n v="38"/>
    <x v="12"/>
    <n v="12"/>
    <s v="Q1 2023"/>
    <x v="1"/>
    <x v="0"/>
    <n v="6445"/>
    <n v="1700"/>
    <n v="18"/>
    <n v="0.6"/>
  </r>
  <r>
    <s v="C751"/>
    <n v="26"/>
    <x v="36"/>
    <n v="14"/>
    <s v="Q1 2023"/>
    <x v="0"/>
    <x v="1"/>
    <n v="17117"/>
    <n v="2700"/>
    <n v="44"/>
    <n v="0.75862068965517238"/>
  </r>
  <r>
    <s v="C652"/>
    <n v="35"/>
    <x v="33"/>
    <n v="13"/>
    <s v="Q2 2023"/>
    <x v="1"/>
    <x v="2"/>
    <n v="6274"/>
    <n v="1700"/>
    <n v="24"/>
    <n v="0.64864864864864868"/>
  </r>
  <r>
    <s v="C104"/>
    <n v="36"/>
    <x v="25"/>
    <n v="13"/>
    <s v="Q1 2023"/>
    <x v="1"/>
    <x v="2"/>
    <n v="7408"/>
    <n v="1700"/>
    <n v="27"/>
    <n v="0.67500000000000004"/>
  </r>
  <r>
    <s v="C269"/>
    <n v="44"/>
    <x v="18"/>
    <n v="9"/>
    <s v="Q2 2023"/>
    <x v="1"/>
    <x v="4"/>
    <n v="8344"/>
    <n v="1700"/>
    <n v="22"/>
    <n v="0.70967741935483875"/>
  </r>
  <r>
    <s v="C266"/>
    <n v="35"/>
    <x v="16"/>
    <n v="7"/>
    <s v="Q2 2023"/>
    <x v="1"/>
    <x v="2"/>
    <n v="7020"/>
    <n v="1700"/>
    <n v="29"/>
    <n v="0.80555555555555558"/>
  </r>
  <r>
    <s v="C778"/>
    <n v="39"/>
    <x v="4"/>
    <n v="10"/>
    <s v="Q2 2023"/>
    <x v="1"/>
    <x v="0"/>
    <n v="6204"/>
    <n v="1700"/>
    <n v="29"/>
    <n v="0.74358974358974361"/>
  </r>
  <r>
    <s v="C698"/>
    <n v="43"/>
    <x v="33"/>
    <n v="5"/>
    <s v="Q1 2023"/>
    <x v="1"/>
    <x v="0"/>
    <n v="9700"/>
    <n v="1700"/>
    <n v="32"/>
    <n v="0.86486486486486491"/>
  </r>
  <r>
    <s v="C404"/>
    <n v="44"/>
    <x v="17"/>
    <n v="7"/>
    <s v="Q1 2023"/>
    <x v="1"/>
    <x v="4"/>
    <n v="8055"/>
    <n v="1700"/>
    <n v="36"/>
    <n v="0.83720930232558144"/>
  </r>
  <r>
    <s v="C623"/>
    <n v="27"/>
    <x v="25"/>
    <n v="7"/>
    <s v="Q1 2023"/>
    <x v="0"/>
    <x v="1"/>
    <n v="6700"/>
    <n v="1700"/>
    <n v="33"/>
    <n v="0.82499999999999996"/>
  </r>
  <r>
    <s v="C639"/>
    <n v="32"/>
    <x v="16"/>
    <n v="11"/>
    <s v="Q2 2023"/>
    <x v="1"/>
    <x v="2"/>
    <n v="9312"/>
    <n v="1700"/>
    <n v="25"/>
    <n v="0.69444444444444442"/>
  </r>
  <r>
    <s v="C648"/>
    <n v="32"/>
    <x v="23"/>
    <n v="9"/>
    <s v="Q1 2023"/>
    <x v="1"/>
    <x v="2"/>
    <n v="8566"/>
    <n v="1700"/>
    <n v="24"/>
    <n v="0.72727272727272729"/>
  </r>
  <r>
    <s v="C725"/>
    <n v="21"/>
    <x v="3"/>
    <n v="11"/>
    <s v="Q2 2023"/>
    <x v="0"/>
    <x v="1"/>
    <n v="9147"/>
    <n v="1900"/>
    <n v="39"/>
    <n v="0.78"/>
  </r>
  <r>
    <s v="C775"/>
    <n v="48"/>
    <x v="18"/>
    <n v="7"/>
    <s v="Q2 2023"/>
    <x v="1"/>
    <x v="3"/>
    <n v="6713"/>
    <n v="1700"/>
    <n v="24"/>
    <n v="0.77419354838709675"/>
  </r>
  <r>
    <s v="C593"/>
    <n v="43"/>
    <x v="3"/>
    <n v="14"/>
    <s v="Q2 2023"/>
    <x v="1"/>
    <x v="0"/>
    <n v="8214"/>
    <n v="1900"/>
    <n v="36"/>
    <n v="0.72"/>
  </r>
  <r>
    <s v="C611"/>
    <n v="22"/>
    <x v="30"/>
    <n v="8"/>
    <s v="Q2 2023"/>
    <x v="0"/>
    <x v="1"/>
    <n v="8332"/>
    <n v="1900"/>
    <n v="40"/>
    <n v="0.83333333333333337"/>
  </r>
  <r>
    <s v="C302"/>
    <n v="24"/>
    <x v="25"/>
    <n v="14"/>
    <s v="Q1 2023"/>
    <x v="0"/>
    <x v="1"/>
    <n v="6156"/>
    <n v="1700"/>
    <n v="26"/>
    <n v="0.65"/>
  </r>
  <r>
    <s v="C709"/>
    <n v="28"/>
    <x v="8"/>
    <n v="10"/>
    <s v="Q2 2023"/>
    <x v="1"/>
    <x v="1"/>
    <n v="6992"/>
    <n v="1700"/>
    <n v="19"/>
    <n v="0.65517241379310343"/>
  </r>
  <r>
    <s v="C187"/>
    <n v="40"/>
    <x v="16"/>
    <n v="8"/>
    <s v="Q1 2023"/>
    <x v="1"/>
    <x v="0"/>
    <n v="8878"/>
    <n v="1700"/>
    <n v="28"/>
    <n v="0.77777777777777779"/>
  </r>
  <r>
    <s v="C637"/>
    <n v="29"/>
    <x v="15"/>
    <n v="13"/>
    <s v="Q2 2023"/>
    <x v="0"/>
    <x v="2"/>
    <n v="7704"/>
    <n v="1900"/>
    <n v="40"/>
    <n v="0.75471698113207553"/>
  </r>
  <r>
    <s v="C418"/>
    <n v="34"/>
    <x v="8"/>
    <n v="14"/>
    <s v="Q1 2023"/>
    <x v="1"/>
    <x v="2"/>
    <n v="9454"/>
    <n v="1700"/>
    <n v="15"/>
    <n v="0.51724137931034486"/>
  </r>
  <r>
    <s v="C472"/>
    <n v="36"/>
    <x v="13"/>
    <n v="10"/>
    <s v="Q1 2023"/>
    <x v="1"/>
    <x v="2"/>
    <n v="9254"/>
    <n v="1700"/>
    <n v="32"/>
    <n v="0.76190476190476186"/>
  </r>
  <r>
    <s v="C284"/>
    <n v="43"/>
    <x v="15"/>
    <n v="11"/>
    <s v="Q2 2023"/>
    <x v="1"/>
    <x v="0"/>
    <n v="9413"/>
    <n v="1900"/>
    <n v="42"/>
    <n v="0.79245283018867929"/>
  </r>
  <r>
    <s v="C321"/>
    <n v="46"/>
    <x v="32"/>
    <n v="12"/>
    <s v="Q1 2023"/>
    <x v="1"/>
    <x v="4"/>
    <n v="8423"/>
    <n v="1700"/>
    <n v="16"/>
    <n v="0.5714285714285714"/>
  </r>
  <r>
    <s v="C757"/>
    <n v="37"/>
    <x v="22"/>
    <n v="11"/>
    <s v="Q2 2023"/>
    <x v="1"/>
    <x v="2"/>
    <n v="9380"/>
    <n v="1700"/>
    <n v="21"/>
    <n v="0.65625"/>
  </r>
  <r>
    <s v="C666"/>
    <n v="32"/>
    <x v="26"/>
    <n v="15"/>
    <s v="Q2 2023"/>
    <x v="1"/>
    <x v="2"/>
    <n v="8736"/>
    <n v="1700"/>
    <n v="20"/>
    <n v="0.5714285714285714"/>
  </r>
  <r>
    <s v="C276"/>
    <n v="35"/>
    <x v="30"/>
    <n v="9"/>
    <s v="Q2 2023"/>
    <x v="0"/>
    <x v="2"/>
    <n v="7259"/>
    <n v="1900"/>
    <n v="39"/>
    <n v="0.8125"/>
  </r>
  <r>
    <s v="C642"/>
    <n v="30"/>
    <x v="15"/>
    <n v="12"/>
    <s v="Q1 2023"/>
    <x v="0"/>
    <x v="2"/>
    <n v="7798"/>
    <n v="1900"/>
    <n v="41"/>
    <n v="0.77358490566037741"/>
  </r>
  <r>
    <s v="C198"/>
    <n v="25"/>
    <x v="12"/>
    <n v="5"/>
    <s v="Q2 2023"/>
    <x v="0"/>
    <x v="1"/>
    <n v="6058"/>
    <n v="1700"/>
    <n v="25"/>
    <n v="0.83333333333333337"/>
  </r>
  <r>
    <s v="C462"/>
    <n v="30"/>
    <x v="18"/>
    <n v="4"/>
    <s v="Q2 2023"/>
    <x v="1"/>
    <x v="2"/>
    <n v="6399"/>
    <n v="1700"/>
    <n v="27"/>
    <n v="0.87096774193548387"/>
  </r>
  <r>
    <s v="C345"/>
    <n v="39"/>
    <x v="8"/>
    <n v="4"/>
    <s v="Q2 2023"/>
    <x v="1"/>
    <x v="0"/>
    <n v="8893"/>
    <n v="1700"/>
    <n v="25"/>
    <n v="0.86206896551724133"/>
  </r>
  <r>
    <s v="C489"/>
    <n v="39"/>
    <x v="30"/>
    <n v="9"/>
    <s v="Q2 2023"/>
    <x v="0"/>
    <x v="0"/>
    <n v="9662"/>
    <n v="1900"/>
    <n v="39"/>
    <n v="0.8125"/>
  </r>
  <r>
    <s v="C761"/>
    <n v="27"/>
    <x v="1"/>
    <n v="14"/>
    <s v="Q2 2023"/>
    <x v="0"/>
    <x v="1"/>
    <n v="52103"/>
    <n v="2500"/>
    <n v="41"/>
    <n v="0.74545454545454548"/>
  </r>
  <r>
    <s v="C177"/>
    <n v="22"/>
    <x v="7"/>
    <n v="11"/>
    <s v="Q1 2023"/>
    <x v="1"/>
    <x v="1"/>
    <n v="9543"/>
    <n v="1700"/>
    <n v="15"/>
    <n v="0.57692307692307687"/>
  </r>
  <r>
    <s v="C410"/>
    <n v="31"/>
    <x v="17"/>
    <n v="8"/>
    <s v="Q1 2023"/>
    <x v="0"/>
    <x v="2"/>
    <n v="9220"/>
    <n v="1700"/>
    <n v="35"/>
    <n v="0.81395348837209303"/>
  </r>
  <r>
    <s v="C217"/>
    <n v="49"/>
    <x v="9"/>
    <n v="7"/>
    <s v="Q2 2023"/>
    <x v="1"/>
    <x v="5"/>
    <n v="8363"/>
    <n v="1900"/>
    <n v="38"/>
    <n v="0.84444444444444444"/>
  </r>
  <r>
    <s v="C763"/>
    <n v="44"/>
    <x v="20"/>
    <n v="14"/>
    <s v="Q1 2023"/>
    <x v="0"/>
    <x v="4"/>
    <n v="9690"/>
    <n v="2700"/>
    <n v="45"/>
    <n v="0.76271186440677963"/>
  </r>
  <r>
    <s v="C544"/>
    <n v="24"/>
    <x v="10"/>
    <n v="6"/>
    <s v="Q1 2023"/>
    <x v="0"/>
    <x v="1"/>
    <n v="8948"/>
    <n v="1900"/>
    <n v="43"/>
    <n v="0.87755102040816324"/>
  </r>
  <r>
    <s v="C458"/>
    <n v="50"/>
    <x v="17"/>
    <n v="11"/>
    <s v="Q2 2023"/>
    <x v="1"/>
    <x v="7"/>
    <n v="6047"/>
    <n v="1700"/>
    <n v="32"/>
    <n v="0.7441860465116279"/>
  </r>
  <r>
    <s v="C695"/>
    <n v="44"/>
    <x v="25"/>
    <n v="6"/>
    <s v="Q1 2023"/>
    <x v="1"/>
    <x v="4"/>
    <n v="6010"/>
    <n v="1700"/>
    <n v="34"/>
    <n v="0.85"/>
  </r>
  <r>
    <s v="C353"/>
    <n v="21"/>
    <x v="34"/>
    <n v="9"/>
    <s v="Q2 2023"/>
    <x v="0"/>
    <x v="1"/>
    <n v="7484"/>
    <n v="1900"/>
    <n v="37"/>
    <n v="0.80434782608695654"/>
  </r>
  <r>
    <s v="C157"/>
    <n v="33"/>
    <x v="2"/>
    <n v="9"/>
    <s v="Q2 2023"/>
    <x v="0"/>
    <x v="2"/>
    <n v="6284"/>
    <n v="1900"/>
    <n v="42"/>
    <n v="0.82352941176470584"/>
  </r>
  <r>
    <s v="C299"/>
    <n v="29"/>
    <x v="29"/>
    <n v="9"/>
    <s v="Q2 2023"/>
    <x v="0"/>
    <x v="2"/>
    <n v="42361"/>
    <n v="2500"/>
    <n v="45"/>
    <n v="0.83333333333333337"/>
  </r>
  <r>
    <s v="C254"/>
    <n v="31"/>
    <x v="19"/>
    <n v="9"/>
    <s v="Q2 2023"/>
    <x v="0"/>
    <x v="2"/>
    <n v="6354"/>
    <n v="1900"/>
    <n v="38"/>
    <n v="0.80851063829787229"/>
  </r>
  <r>
    <s v="C783"/>
    <n v="31"/>
    <x v="9"/>
    <n v="9"/>
    <s v="Q2 2023"/>
    <x v="0"/>
    <x v="2"/>
    <n v="9060"/>
    <n v="1900"/>
    <n v="36"/>
    <n v="0.8"/>
  </r>
  <r>
    <s v="C117"/>
    <n v="44"/>
    <x v="9"/>
    <n v="10"/>
    <s v="Q2 2023"/>
    <x v="1"/>
    <x v="4"/>
    <n v="9573"/>
    <n v="1900"/>
    <n v="35"/>
    <n v="0.77777777777777779"/>
  </r>
  <r>
    <s v="C178"/>
    <n v="20"/>
    <x v="10"/>
    <n v="12"/>
    <s v="Q1 2023"/>
    <x v="0"/>
    <x v="1"/>
    <n v="6583"/>
    <n v="1900"/>
    <n v="37"/>
    <n v="0.75510204081632648"/>
  </r>
  <r>
    <s v="C764"/>
    <n v="33"/>
    <x v="29"/>
    <n v="8"/>
    <s v="Q2 2023"/>
    <x v="0"/>
    <x v="2"/>
    <n v="28766"/>
    <n v="2500"/>
    <n v="46"/>
    <n v="0.85185185185185186"/>
  </r>
  <r>
    <s v="C645"/>
    <n v="30"/>
    <x v="35"/>
    <n v="15"/>
    <s v="Q1 2023"/>
    <x v="0"/>
    <x v="2"/>
    <n v="52424"/>
    <n v="2700"/>
    <n v="42"/>
    <n v="0.73684210526315785"/>
  </r>
  <r>
    <s v="C369"/>
    <n v="49"/>
    <x v="21"/>
    <n v="8"/>
    <s v="Q2 2023"/>
    <x v="1"/>
    <x v="6"/>
    <n v="8820"/>
    <n v="1700"/>
    <n v="30"/>
    <n v="0.78947368421052633"/>
  </r>
  <r>
    <s v="C338"/>
    <n v="44"/>
    <x v="17"/>
    <n v="14"/>
    <s v="Q1 2023"/>
    <x v="1"/>
    <x v="4"/>
    <n v="8295"/>
    <n v="1700"/>
    <n v="29"/>
    <n v="0.67441860465116277"/>
  </r>
  <r>
    <s v="C237"/>
    <n v="30"/>
    <x v="3"/>
    <n v="15"/>
    <s v="Q1 2023"/>
    <x v="0"/>
    <x v="2"/>
    <n v="8816"/>
    <n v="1900"/>
    <n v="35"/>
    <n v="0.7"/>
  </r>
  <r>
    <s v="C481"/>
    <n v="40"/>
    <x v="4"/>
    <n v="5"/>
    <s v="Q2 2023"/>
    <x v="1"/>
    <x v="0"/>
    <n v="9059"/>
    <n v="1700"/>
    <n v="34"/>
    <n v="0.87179487179487181"/>
  </r>
  <r>
    <s v="C297"/>
    <n v="20"/>
    <x v="19"/>
    <n v="16"/>
    <s v="Q1 2023"/>
    <x v="0"/>
    <x v="1"/>
    <n v="6720"/>
    <n v="1900"/>
    <n v="31"/>
    <n v="0.65957446808510634"/>
  </r>
  <r>
    <s v="C601"/>
    <n v="28"/>
    <x v="26"/>
    <n v="12"/>
    <s v="Q1 2023"/>
    <x v="1"/>
    <x v="1"/>
    <n v="6092"/>
    <n v="1700"/>
    <n v="23"/>
    <n v="0.65714285714285714"/>
  </r>
  <r>
    <s v="C127"/>
    <n v="33"/>
    <x v="9"/>
    <n v="13"/>
    <s v="Q1 2023"/>
    <x v="1"/>
    <x v="2"/>
    <n v="9473"/>
    <n v="1900"/>
    <n v="32"/>
    <n v="0.71111111111111114"/>
  </r>
  <r>
    <s v="C401"/>
    <n v="38"/>
    <x v="25"/>
    <n v="6"/>
    <s v="Q1 2023"/>
    <x v="1"/>
    <x v="0"/>
    <n v="6348"/>
    <n v="1700"/>
    <n v="34"/>
    <n v="0.85"/>
  </r>
  <r>
    <s v="C274"/>
    <n v="28"/>
    <x v="30"/>
    <n v="6"/>
    <s v="Q2 2023"/>
    <x v="0"/>
    <x v="1"/>
    <n v="6988"/>
    <n v="1900"/>
    <n v="42"/>
    <n v="0.875"/>
  </r>
  <r>
    <s v="C792"/>
    <n v="34"/>
    <x v="26"/>
    <n v="10"/>
    <s v="Q2 2023"/>
    <x v="1"/>
    <x v="2"/>
    <n v="9148"/>
    <n v="1700"/>
    <n v="25"/>
    <n v="0.7142857142857143"/>
  </r>
  <r>
    <s v="C692"/>
    <n v="29"/>
    <x v="33"/>
    <n v="9"/>
    <s v="Q1 2023"/>
    <x v="1"/>
    <x v="2"/>
    <n v="8237"/>
    <n v="1700"/>
    <n v="28"/>
    <n v="0.7567567567567568"/>
  </r>
  <r>
    <s v="C758"/>
    <n v="24"/>
    <x v="25"/>
    <n v="8"/>
    <s v="Q2 2023"/>
    <x v="0"/>
    <x v="1"/>
    <n v="8940"/>
    <n v="1700"/>
    <n v="32"/>
    <n v="0.8"/>
  </r>
  <r>
    <s v="C360"/>
    <n v="37"/>
    <x v="18"/>
    <n v="13"/>
    <s v="Q2 2023"/>
    <x v="1"/>
    <x v="0"/>
    <n v="8543"/>
    <n v="1700"/>
    <n v="18"/>
    <n v="0.58064516129032262"/>
  </r>
  <r>
    <s v="C236"/>
    <n v="45"/>
    <x v="6"/>
    <n v="9"/>
    <s v="Q1 2023"/>
    <x v="1"/>
    <x v="4"/>
    <n v="7709"/>
    <n v="1700"/>
    <n v="35"/>
    <n v="0.79545454545454541"/>
  </r>
  <r>
    <s v="C540"/>
    <n v="40"/>
    <x v="16"/>
    <n v="12"/>
    <s v="Q2 2023"/>
    <x v="1"/>
    <x v="0"/>
    <n v="7373"/>
    <n v="1700"/>
    <n v="24"/>
    <n v="0.66666666666666663"/>
  </r>
  <r>
    <s v="C680"/>
    <n v="24"/>
    <x v="19"/>
    <n v="13"/>
    <s v="Q2 2023"/>
    <x v="0"/>
    <x v="1"/>
    <n v="7256"/>
    <n v="1900"/>
    <n v="34"/>
    <n v="0.72340425531914898"/>
  </r>
  <r>
    <s v="C118"/>
    <n v="38"/>
    <x v="23"/>
    <n v="10"/>
    <s v="Q1 2023"/>
    <x v="1"/>
    <x v="0"/>
    <n v="7677"/>
    <n v="1700"/>
    <n v="23"/>
    <n v="0.69696969696969702"/>
  </r>
  <r>
    <s v="C596"/>
    <n v="33"/>
    <x v="15"/>
    <n v="13"/>
    <s v="Q1 2023"/>
    <x v="0"/>
    <x v="2"/>
    <n v="7106"/>
    <n v="1900"/>
    <n v="40"/>
    <n v="0.75471698113207553"/>
  </r>
  <r>
    <s v="C617"/>
    <n v="39"/>
    <x v="19"/>
    <n v="13"/>
    <s v="Q2 2023"/>
    <x v="1"/>
    <x v="0"/>
    <n v="7527"/>
    <n v="1900"/>
    <n v="34"/>
    <n v="0.72340425531914898"/>
  </r>
  <r>
    <s v="C335"/>
    <n v="41"/>
    <x v="29"/>
    <n v="11"/>
    <s v="Q2 2023"/>
    <x v="0"/>
    <x v="0"/>
    <n v="58920"/>
    <n v="2500"/>
    <n v="43"/>
    <n v="0.79629629629629628"/>
  </r>
  <r>
    <s v="C224"/>
    <n v="45"/>
    <x v="29"/>
    <n v="17"/>
    <s v="Q1 2023"/>
    <x v="1"/>
    <x v="4"/>
    <n v="9567"/>
    <n v="2500"/>
    <n v="37"/>
    <n v="0.68518518518518523"/>
  </r>
  <r>
    <s v="C592"/>
    <n v="28"/>
    <x v="36"/>
    <n v="12"/>
    <s v="Q1 2023"/>
    <x v="0"/>
    <x v="1"/>
    <n v="35672"/>
    <n v="2700"/>
    <n v="46"/>
    <n v="0.7931034482758621"/>
  </r>
  <r>
    <s v="C636"/>
    <n v="43"/>
    <x v="19"/>
    <n v="16"/>
    <s v="Q1 2023"/>
    <x v="1"/>
    <x v="0"/>
    <n v="6708"/>
    <n v="1900"/>
    <n v="31"/>
    <n v="0.65957446808510634"/>
  </r>
  <r>
    <s v="C737"/>
    <n v="23"/>
    <x v="2"/>
    <n v="6"/>
    <s v="Q2 2023"/>
    <x v="0"/>
    <x v="1"/>
    <n v="9510"/>
    <n v="1900"/>
    <n v="45"/>
    <n v="0.88235294117647056"/>
  </r>
  <r>
    <s v="C206"/>
    <n v="23"/>
    <x v="13"/>
    <n v="13"/>
    <s v="Q2 2023"/>
    <x v="0"/>
    <x v="1"/>
    <n v="9864"/>
    <n v="1700"/>
    <n v="29"/>
    <n v="0.69047619047619047"/>
  </r>
  <r>
    <s v="C103"/>
    <n v="45"/>
    <x v="29"/>
    <n v="6"/>
    <s v="Q2 2023"/>
    <x v="0"/>
    <x v="4"/>
    <n v="13208"/>
    <n v="2500"/>
    <n v="48"/>
    <n v="0.88888888888888884"/>
  </r>
  <r>
    <s v="C594"/>
    <n v="40"/>
    <x v="4"/>
    <n v="7"/>
    <s v="Q1 2023"/>
    <x v="1"/>
    <x v="0"/>
    <n v="6088"/>
    <n v="1700"/>
    <n v="32"/>
    <n v="0.82051282051282048"/>
  </r>
  <r>
    <s v="C343"/>
    <n v="45"/>
    <x v="4"/>
    <n v="6"/>
    <s v="Q2 2023"/>
    <x v="1"/>
    <x v="4"/>
    <n v="8803"/>
    <n v="1700"/>
    <n v="33"/>
    <n v="0.84615384615384615"/>
  </r>
  <r>
    <s v="C475"/>
    <n v="48"/>
    <x v="13"/>
    <n v="15"/>
    <s v="Q2 2023"/>
    <x v="1"/>
    <x v="3"/>
    <n v="6532"/>
    <n v="1700"/>
    <n v="27"/>
    <n v="0.6428571428571429"/>
  </r>
  <r>
    <s v="C685"/>
    <n v="27"/>
    <x v="19"/>
    <n v="15"/>
    <s v="Q2 2023"/>
    <x v="0"/>
    <x v="1"/>
    <n v="8666"/>
    <n v="1900"/>
    <n v="32"/>
    <n v="0.68085106382978722"/>
  </r>
  <r>
    <s v="C779"/>
    <n v="21"/>
    <x v="15"/>
    <n v="12"/>
    <s v="Q2 2023"/>
    <x v="0"/>
    <x v="1"/>
    <n v="8108"/>
    <n v="1900"/>
    <n v="41"/>
    <n v="0.77358490566037741"/>
  </r>
  <r>
    <s v="C195"/>
    <n v="47"/>
    <x v="28"/>
    <n v="12"/>
    <s v="Q1 2023"/>
    <x v="1"/>
    <x v="3"/>
    <n v="7584"/>
    <n v="1700"/>
    <n v="29"/>
    <n v="0.70731707317073167"/>
  </r>
  <r>
    <s v="C564"/>
    <n v="38"/>
    <x v="3"/>
    <n v="10"/>
    <s v="Q2 2023"/>
    <x v="0"/>
    <x v="0"/>
    <n v="7054"/>
    <n v="1900"/>
    <n v="40"/>
    <n v="0.8"/>
  </r>
  <r>
    <s v="C510"/>
    <n v="32"/>
    <x v="23"/>
    <n v="5"/>
    <s v="Q1 2023"/>
    <x v="1"/>
    <x v="2"/>
    <n v="9193"/>
    <n v="1700"/>
    <n v="28"/>
    <n v="0.84848484848484851"/>
  </r>
  <r>
    <s v="C723"/>
    <n v="40"/>
    <x v="31"/>
    <n v="7"/>
    <s v="Q2 2023"/>
    <x v="0"/>
    <x v="0"/>
    <n v="7070"/>
    <n v="1900"/>
    <n v="45"/>
    <n v="0.86538461538461542"/>
  </r>
  <r>
    <s v="C506"/>
    <n v="37"/>
    <x v="10"/>
    <n v="11"/>
    <s v="Q1 2023"/>
    <x v="0"/>
    <x v="2"/>
    <n v="6340"/>
    <n v="1900"/>
    <n v="38"/>
    <n v="0.77551020408163263"/>
  </r>
  <r>
    <s v="C129"/>
    <n v="25"/>
    <x v="2"/>
    <n v="13"/>
    <s v="Q1 2023"/>
    <x v="0"/>
    <x v="1"/>
    <n v="8773"/>
    <n v="1900"/>
    <n v="38"/>
    <n v="0.74509803921568629"/>
  </r>
  <r>
    <s v="C691"/>
    <n v="38"/>
    <x v="16"/>
    <n v="8"/>
    <s v="Q2 2023"/>
    <x v="1"/>
    <x v="0"/>
    <n v="8839"/>
    <n v="1700"/>
    <n v="28"/>
    <n v="0.77777777777777779"/>
  </r>
  <r>
    <s v="C257"/>
    <n v="43"/>
    <x v="36"/>
    <n v="8"/>
    <s v="Q1 2023"/>
    <x v="0"/>
    <x v="0"/>
    <n v="53922"/>
    <n v="2700"/>
    <n v="50"/>
    <n v="0.86206896551724133"/>
  </r>
  <r>
    <s v="C501"/>
    <n v="31"/>
    <x v="3"/>
    <n v="9"/>
    <s v="Q1 2023"/>
    <x v="0"/>
    <x v="2"/>
    <n v="6485"/>
    <n v="1900"/>
    <n v="41"/>
    <n v="0.82"/>
  </r>
  <r>
    <s v="C116"/>
    <n v="36"/>
    <x v="3"/>
    <n v="12"/>
    <s v="Q2 2023"/>
    <x v="0"/>
    <x v="2"/>
    <n v="7597"/>
    <n v="1900"/>
    <n v="38"/>
    <n v="0.76"/>
  </r>
  <r>
    <s v="C184"/>
    <n v="36"/>
    <x v="34"/>
    <n v="8"/>
    <s v="Q2 2023"/>
    <x v="0"/>
    <x v="2"/>
    <n v="9366"/>
    <n v="1900"/>
    <n v="38"/>
    <n v="0.82608695652173914"/>
  </r>
  <r>
    <s v="C581"/>
    <n v="35"/>
    <x v="31"/>
    <n v="15"/>
    <s v="Q1 2023"/>
    <x v="0"/>
    <x v="2"/>
    <n v="9537"/>
    <n v="1900"/>
    <n v="37"/>
    <n v="0.71153846153846156"/>
  </r>
  <r>
    <s v="C453"/>
    <n v="43"/>
    <x v="32"/>
    <n v="6"/>
    <s v="Q1 2023"/>
    <x v="1"/>
    <x v="4"/>
    <n v="9147"/>
    <n v="1700"/>
    <n v="22"/>
    <n v="0.7857142857142857"/>
  </r>
  <r>
    <s v="C279"/>
    <n v="31"/>
    <x v="2"/>
    <n v="7"/>
    <s v="Q1 2023"/>
    <x v="0"/>
    <x v="2"/>
    <n v="8184"/>
    <n v="1900"/>
    <n v="44"/>
    <n v="0.86274509803921573"/>
  </r>
  <r>
    <s v="C768"/>
    <n v="41"/>
    <x v="16"/>
    <n v="7"/>
    <s v="Q2 2023"/>
    <x v="1"/>
    <x v="0"/>
    <n v="6470"/>
    <n v="1700"/>
    <n v="29"/>
    <n v="0.80555555555555558"/>
  </r>
  <r>
    <s v="C532"/>
    <n v="45"/>
    <x v="28"/>
    <n v="10"/>
    <s v="Q2 2023"/>
    <x v="1"/>
    <x v="4"/>
    <n v="8471"/>
    <n v="1700"/>
    <n v="31"/>
    <n v="0.75609756097560976"/>
  </r>
  <r>
    <s v="C301"/>
    <n v="25"/>
    <x v="3"/>
    <n v="16"/>
    <s v="Q1 2023"/>
    <x v="0"/>
    <x v="1"/>
    <n v="6253"/>
    <n v="1900"/>
    <n v="34"/>
    <n v="0.68"/>
  </r>
  <r>
    <s v="C210"/>
    <n v="47"/>
    <x v="18"/>
    <n v="10"/>
    <s v="Q1 2023"/>
    <x v="1"/>
    <x v="3"/>
    <n v="7467"/>
    <n v="1700"/>
    <n v="21"/>
    <n v="0.67741935483870963"/>
  </r>
  <r>
    <s v="C735"/>
    <n v="20"/>
    <x v="30"/>
    <n v="5"/>
    <s v="Q1 2023"/>
    <x v="0"/>
    <x v="1"/>
    <n v="9533"/>
    <n v="1900"/>
    <n v="43"/>
    <n v="0.89583333333333337"/>
  </r>
  <r>
    <s v="C684"/>
    <n v="37"/>
    <x v="34"/>
    <n v="6"/>
    <s v="Q2 2023"/>
    <x v="0"/>
    <x v="2"/>
    <n v="7077"/>
    <n v="1900"/>
    <n v="40"/>
    <n v="0.86956521739130432"/>
  </r>
  <r>
    <s v="C665"/>
    <n v="44"/>
    <x v="14"/>
    <n v="4"/>
    <s v="Q1 2023"/>
    <x v="1"/>
    <x v="4"/>
    <n v="6916"/>
    <n v="1700"/>
    <n v="30"/>
    <n v="0.88235294117647056"/>
  </r>
  <r>
    <s v="C571"/>
    <n v="44"/>
    <x v="24"/>
    <n v="11"/>
    <s v="Q2 2023"/>
    <x v="1"/>
    <x v="4"/>
    <n v="6236"/>
    <n v="1700"/>
    <n v="14"/>
    <n v="0.56000000000000005"/>
  </r>
  <r>
    <s v="C742"/>
    <n v="27"/>
    <x v="20"/>
    <n v="10"/>
    <s v="Q1 2023"/>
    <x v="0"/>
    <x v="1"/>
    <n v="59969"/>
    <n v="2700"/>
    <n v="49"/>
    <n v="0.83050847457627119"/>
  </r>
  <r>
    <s v="C436"/>
    <n v="23"/>
    <x v="32"/>
    <n v="13"/>
    <s v="Q1 2023"/>
    <x v="1"/>
    <x v="1"/>
    <n v="6729"/>
    <n v="1700"/>
    <n v="15"/>
    <n v="0.5357142857142857"/>
  </r>
  <r>
    <s v="C789"/>
    <n v="36"/>
    <x v="28"/>
    <n v="11"/>
    <s v="Q1 2023"/>
    <x v="1"/>
    <x v="2"/>
    <n v="7592"/>
    <n v="1700"/>
    <n v="30"/>
    <n v="0.73170731707317072"/>
  </r>
  <r>
    <s v="C289"/>
    <n v="37"/>
    <x v="19"/>
    <n v="11"/>
    <s v="Q1 2023"/>
    <x v="1"/>
    <x v="0"/>
    <n v="9692"/>
    <n v="1900"/>
    <n v="36"/>
    <n v="0.76595744680851063"/>
  </r>
  <r>
    <s v="C285"/>
    <n v="28"/>
    <x v="4"/>
    <n v="10"/>
    <s v="Q1 2023"/>
    <x v="0"/>
    <x v="1"/>
    <n v="7478"/>
    <n v="1700"/>
    <n v="29"/>
    <n v="0.74358974358974361"/>
  </r>
  <r>
    <s v="C312"/>
    <n v="46"/>
    <x v="13"/>
    <n v="6"/>
    <s v="Q1 2023"/>
    <x v="1"/>
    <x v="4"/>
    <n v="8760"/>
    <n v="1700"/>
    <n v="36"/>
    <n v="0.8571428571428571"/>
  </r>
  <r>
    <s v="C351"/>
    <n v="40"/>
    <x v="36"/>
    <n v="2"/>
    <s v="Q2 2023"/>
    <x v="0"/>
    <x v="0"/>
    <n v="30045"/>
    <n v="2700"/>
    <n v="56"/>
    <n v="0.96551724137931039"/>
  </r>
  <r>
    <s v="C222"/>
    <n v="41"/>
    <x v="29"/>
    <n v="10"/>
    <s v="Q1 2023"/>
    <x v="0"/>
    <x v="0"/>
    <n v="41158"/>
    <n v="2500"/>
    <n v="44"/>
    <n v="0.81481481481481477"/>
  </r>
  <r>
    <s v="C439"/>
    <n v="21"/>
    <x v="28"/>
    <n v="14"/>
    <s v="Q2 2023"/>
    <x v="0"/>
    <x v="1"/>
    <n v="7725"/>
    <n v="1700"/>
    <n v="27"/>
    <n v="0.65853658536585369"/>
  </r>
  <r>
    <s v="C394"/>
    <n v="25"/>
    <x v="29"/>
    <n v="7"/>
    <s v="Q2 2023"/>
    <x v="0"/>
    <x v="1"/>
    <n v="50685"/>
    <n v="2500"/>
    <n v="47"/>
    <n v="0.87037037037037035"/>
  </r>
  <r>
    <s v="C435"/>
    <n v="49"/>
    <x v="1"/>
    <n v="12"/>
    <s v="Q1 2023"/>
    <x v="1"/>
    <x v="5"/>
    <n v="37203"/>
    <n v="2500"/>
    <n v="43"/>
    <n v="0.78181818181818186"/>
  </r>
  <r>
    <s v="C629"/>
    <n v="28"/>
    <x v="36"/>
    <n v="7"/>
    <s v="Q1 2023"/>
    <x v="0"/>
    <x v="1"/>
    <n v="39895"/>
    <n v="2700"/>
    <n v="51"/>
    <n v="0.87931034482758619"/>
  </r>
  <r>
    <s v="C330"/>
    <n v="44"/>
    <x v="3"/>
    <n v="9"/>
    <s v="Q1 2023"/>
    <x v="1"/>
    <x v="4"/>
    <n v="8184"/>
    <n v="1900"/>
    <n v="41"/>
    <n v="0.82"/>
  </r>
  <r>
    <s v="C141"/>
    <n v="31"/>
    <x v="35"/>
    <n v="11"/>
    <s v="Q1 2023"/>
    <x v="0"/>
    <x v="2"/>
    <n v="47067"/>
    <n v="2500"/>
    <n v="46"/>
    <n v="0.80701754385964908"/>
  </r>
  <r>
    <s v="C275"/>
    <n v="28"/>
    <x v="35"/>
    <n v="12"/>
    <s v="Q2 2023"/>
    <x v="0"/>
    <x v="1"/>
    <n v="26646"/>
    <n v="2500"/>
    <n v="45"/>
    <n v="0.78947368421052633"/>
  </r>
  <r>
    <s v="C246"/>
    <n v="32"/>
    <x v="36"/>
    <n v="9"/>
    <s v="Q1 2023"/>
    <x v="0"/>
    <x v="2"/>
    <n v="18146"/>
    <n v="2700"/>
    <n v="49"/>
    <n v="0.84482758620689657"/>
  </r>
  <r>
    <s v="C444"/>
    <n v="31"/>
    <x v="21"/>
    <n v="12"/>
    <s v="Q2 2023"/>
    <x v="1"/>
    <x v="2"/>
    <n v="6164"/>
    <n v="1700"/>
    <n v="26"/>
    <n v="0.68421052631578949"/>
  </r>
  <r>
    <s v="C560"/>
    <n v="48"/>
    <x v="2"/>
    <n v="8"/>
    <s v="Q1 2023"/>
    <x v="1"/>
    <x v="3"/>
    <n v="6606"/>
    <n v="1900"/>
    <n v="43"/>
    <n v="0.84313725490196079"/>
  </r>
  <r>
    <s v="C181"/>
    <n v="50"/>
    <x v="30"/>
    <n v="10"/>
    <s v="Q2 2023"/>
    <x v="1"/>
    <x v="7"/>
    <n v="6094"/>
    <n v="1900"/>
    <n v="38"/>
    <n v="0.79166666666666663"/>
  </r>
  <r>
    <s v="C212"/>
    <n v="34"/>
    <x v="9"/>
    <n v="10"/>
    <s v="Q1 2023"/>
    <x v="0"/>
    <x v="2"/>
    <n v="6360"/>
    <n v="1900"/>
    <n v="35"/>
    <n v="0.77777777777777779"/>
  </r>
  <r>
    <s v="C319"/>
    <n v="29"/>
    <x v="37"/>
    <n v="8"/>
    <s v="Q2 2023"/>
    <x v="1"/>
    <x v="2"/>
    <n v="7981"/>
    <n v="1700"/>
    <n v="19"/>
    <n v="0.70370370370370372"/>
  </r>
  <r>
    <s v="C676"/>
    <n v="40"/>
    <x v="15"/>
    <n v="5"/>
    <s v="Q2 2023"/>
    <x v="0"/>
    <x v="0"/>
    <n v="6532"/>
    <n v="1900"/>
    <n v="48"/>
    <n v="0.90566037735849059"/>
  </r>
  <r>
    <s v="C213"/>
    <n v="47"/>
    <x v="1"/>
    <n v="15"/>
    <s v="Q2 2023"/>
    <x v="1"/>
    <x v="3"/>
    <n v="57538"/>
    <n v="2500"/>
    <n v="40"/>
    <n v="0.72727272727272729"/>
  </r>
  <r>
    <s v="C598"/>
    <n v="34"/>
    <x v="21"/>
    <n v="6"/>
    <s v="Q2 2023"/>
    <x v="1"/>
    <x v="2"/>
    <n v="7443"/>
    <n v="1700"/>
    <n v="32"/>
    <n v="0.84210526315789469"/>
  </r>
  <r>
    <s v="C376"/>
    <n v="33"/>
    <x v="25"/>
    <n v="9"/>
    <s v="Q1 2023"/>
    <x v="1"/>
    <x v="2"/>
    <n v="9127"/>
    <n v="1700"/>
    <n v="31"/>
    <n v="0.77500000000000002"/>
  </r>
  <r>
    <s v="C527"/>
    <n v="38"/>
    <x v="7"/>
    <n v="11"/>
    <s v="Q2 2023"/>
    <x v="1"/>
    <x v="0"/>
    <n v="6673"/>
    <n v="1700"/>
    <n v="15"/>
    <n v="0.57692307692307687"/>
  </r>
  <r>
    <s v="C727"/>
    <n v="30"/>
    <x v="8"/>
    <n v="11"/>
    <s v="Q2 2023"/>
    <x v="1"/>
    <x v="2"/>
    <n v="6505"/>
    <n v="1700"/>
    <n v="18"/>
    <n v="0.62068965517241381"/>
  </r>
  <r>
    <s v="C795"/>
    <n v="22"/>
    <x v="8"/>
    <n v="13"/>
    <s v="Q2 2023"/>
    <x v="1"/>
    <x v="1"/>
    <n v="7321"/>
    <n v="1700"/>
    <n v="16"/>
    <n v="0.55172413793103448"/>
  </r>
  <r>
    <s v="C667"/>
    <n v="26"/>
    <x v="25"/>
    <n v="9"/>
    <s v="Q2 2023"/>
    <x v="0"/>
    <x v="1"/>
    <n v="7857"/>
    <n v="1700"/>
    <n v="31"/>
    <n v="0.77500000000000002"/>
  </r>
  <r>
    <s v="C451"/>
    <n v="40"/>
    <x v="28"/>
    <n v="11"/>
    <s v="Q1 2023"/>
    <x v="1"/>
    <x v="0"/>
    <n v="8961"/>
    <n v="1700"/>
    <n v="30"/>
    <n v="0.73170731707317072"/>
  </r>
  <r>
    <s v="C563"/>
    <n v="35"/>
    <x v="18"/>
    <n v="8"/>
    <s v="Q1 2023"/>
    <x v="1"/>
    <x v="2"/>
    <n v="6335"/>
    <n v="1700"/>
    <n v="23"/>
    <n v="0.74193548387096775"/>
  </r>
  <r>
    <s v="C490"/>
    <n v="30"/>
    <x v="31"/>
    <n v="13"/>
    <s v="Q2 2023"/>
    <x v="0"/>
    <x v="2"/>
    <n v="8220"/>
    <n v="1900"/>
    <n v="39"/>
    <n v="0.75"/>
  </r>
  <r>
    <s v="C650"/>
    <n v="45"/>
    <x v="29"/>
    <n v="8"/>
    <s v="Q2 2023"/>
    <x v="0"/>
    <x v="4"/>
    <n v="31793"/>
    <n v="2500"/>
    <n v="46"/>
    <n v="0.85185185185185186"/>
  </r>
  <r>
    <s v="C142"/>
    <n v="45"/>
    <x v="29"/>
    <n v="7"/>
    <s v="Q2 2023"/>
    <x v="0"/>
    <x v="4"/>
    <n v="13032"/>
    <n v="2500"/>
    <n v="47"/>
    <n v="0.87037037037037035"/>
  </r>
  <r>
    <s v="C253"/>
    <n v="29"/>
    <x v="15"/>
    <n v="9"/>
    <s v="Q2 2023"/>
    <x v="0"/>
    <x v="1"/>
    <n v="7278"/>
    <n v="1900"/>
    <n v="44"/>
    <n v="0.83018867924528306"/>
  </r>
  <r>
    <s v="C449"/>
    <n v="30"/>
    <x v="1"/>
    <n v="10"/>
    <s v="Q2 2023"/>
    <x v="0"/>
    <x v="2"/>
    <n v="48287"/>
    <n v="2500"/>
    <n v="45"/>
    <n v="0.81818181818181823"/>
  </r>
  <r>
    <s v="C485"/>
    <n v="46"/>
    <x v="7"/>
    <n v="10"/>
    <s v="Q1 2023"/>
    <x v="1"/>
    <x v="4"/>
    <n v="6915"/>
    <n v="1700"/>
    <n v="16"/>
    <n v="0.61538461538461542"/>
  </r>
  <r>
    <s v="C135"/>
    <n v="39"/>
    <x v="6"/>
    <n v="5"/>
    <s v="Q1 2023"/>
    <x v="0"/>
    <x v="0"/>
    <n v="6972"/>
    <n v="1700"/>
    <n v="39"/>
    <n v="0.88636363636363635"/>
  </r>
  <r>
    <s v="C417"/>
    <n v="50"/>
    <x v="30"/>
    <n v="10"/>
    <s v="Q1 2023"/>
    <x v="1"/>
    <x v="7"/>
    <n v="9217"/>
    <n v="1900"/>
    <n v="38"/>
    <n v="0.79166666666666663"/>
  </r>
  <r>
    <s v="C194"/>
    <n v="22"/>
    <x v="24"/>
    <n v="14"/>
    <s v="Q1 2023"/>
    <x v="1"/>
    <x v="1"/>
    <n v="9881"/>
    <n v="1700"/>
    <n v="11"/>
    <n v="0.44"/>
  </r>
  <r>
    <s v="C409"/>
    <n v="24"/>
    <x v="22"/>
    <n v="9"/>
    <s v="Q1 2023"/>
    <x v="1"/>
    <x v="1"/>
    <n v="8620"/>
    <n v="1700"/>
    <n v="23"/>
    <n v="0.71875"/>
  </r>
  <r>
    <s v="C730"/>
    <n v="20"/>
    <x v="24"/>
    <n v="8"/>
    <s v="Q2 2023"/>
    <x v="1"/>
    <x v="1"/>
    <n v="7402"/>
    <n v="1700"/>
    <n v="17"/>
    <n v="0.68"/>
  </r>
  <r>
    <s v="C304"/>
    <n v="33"/>
    <x v="15"/>
    <n v="14"/>
    <s v="Q1 2023"/>
    <x v="0"/>
    <x v="2"/>
    <n v="7725"/>
    <n v="1900"/>
    <n v="39"/>
    <n v="0.73584905660377353"/>
  </r>
  <r>
    <s v="C499"/>
    <n v="25"/>
    <x v="13"/>
    <n v="6"/>
    <s v="Q1 2023"/>
    <x v="0"/>
    <x v="1"/>
    <n v="6241"/>
    <n v="1700"/>
    <n v="36"/>
    <n v="0.8571428571428571"/>
  </r>
  <r>
    <s v="C423"/>
    <n v="21"/>
    <x v="4"/>
    <n v="9"/>
    <s v="Q1 2023"/>
    <x v="0"/>
    <x v="1"/>
    <n v="7493"/>
    <n v="1700"/>
    <n v="30"/>
    <n v="0.76923076923076927"/>
  </r>
  <r>
    <s v="C661"/>
    <n v="23"/>
    <x v="20"/>
    <n v="13"/>
    <s v="Q2 2023"/>
    <x v="0"/>
    <x v="1"/>
    <n v="34201"/>
    <n v="2700"/>
    <n v="46"/>
    <n v="0.77966101694915257"/>
  </r>
  <r>
    <s v="C233"/>
    <n v="49"/>
    <x v="20"/>
    <n v="10"/>
    <s v="Q2 2023"/>
    <x v="0"/>
    <x v="5"/>
    <n v="13449"/>
    <n v="2700"/>
    <n v="49"/>
    <n v="0.83050847457627119"/>
  </r>
  <r>
    <s v="C228"/>
    <n v="35"/>
    <x v="37"/>
    <n v="7"/>
    <s v="Q2 2023"/>
    <x v="1"/>
    <x v="2"/>
    <n v="9782"/>
    <n v="1700"/>
    <n v="20"/>
    <n v="0.7407407407407407"/>
  </r>
  <r>
    <s v="C509"/>
    <n v="34"/>
    <x v="29"/>
    <n v="11"/>
    <s v="Q2 2023"/>
    <x v="0"/>
    <x v="2"/>
    <n v="24928"/>
    <n v="2500"/>
    <n v="43"/>
    <n v="0.79629629629629628"/>
  </r>
  <r>
    <s v="C488"/>
    <n v="47"/>
    <x v="33"/>
    <n v="14"/>
    <s v="Q1 2023"/>
    <x v="1"/>
    <x v="4"/>
    <n v="9763"/>
    <n v="1700"/>
    <n v="23"/>
    <n v="0.6216216216216216"/>
  </r>
  <r>
    <s v="C146"/>
    <n v="25"/>
    <x v="12"/>
    <n v="16"/>
    <s v="Q2 2023"/>
    <x v="1"/>
    <x v="1"/>
    <n v="8898"/>
    <n v="1700"/>
    <n v="14"/>
    <n v="0.46666666666666667"/>
  </r>
  <r>
    <s v="C268"/>
    <n v="41"/>
    <x v="34"/>
    <n v="12"/>
    <s v="Q1 2023"/>
    <x v="1"/>
    <x v="0"/>
    <n v="7137"/>
    <n v="1900"/>
    <n v="34"/>
    <n v="0.73913043478260865"/>
  </r>
  <r>
    <s v="C389"/>
    <n v="21"/>
    <x v="29"/>
    <n v="15"/>
    <s v="Q1 2023"/>
    <x v="0"/>
    <x v="1"/>
    <n v="44797"/>
    <n v="2500"/>
    <n v="39"/>
    <n v="0.72222222222222221"/>
  </r>
  <r>
    <s v="C788"/>
    <n v="31"/>
    <x v="0"/>
    <n v="10"/>
    <s v="Q1 2023"/>
    <x v="0"/>
    <x v="2"/>
    <n v="48772"/>
    <n v="2500"/>
    <n v="46"/>
    <n v="0.8214285714285714"/>
  </r>
  <r>
    <s v="C534"/>
    <n v="30"/>
    <x v="33"/>
    <n v="5"/>
    <s v="Q2 2023"/>
    <x v="0"/>
    <x v="2"/>
    <n v="8559"/>
    <n v="1700"/>
    <n v="32"/>
    <n v="0.86486486486486491"/>
  </r>
  <r>
    <s v="C513"/>
    <n v="48"/>
    <x v="16"/>
    <n v="17"/>
    <s v="Q1 2023"/>
    <x v="1"/>
    <x v="3"/>
    <n v="6629"/>
    <n v="1700"/>
    <n v="19"/>
    <n v="0.52777777777777779"/>
  </r>
  <r>
    <s v="C165"/>
    <n v="37"/>
    <x v="13"/>
    <n v="15"/>
    <s v="Q1 2023"/>
    <x v="1"/>
    <x v="0"/>
    <n v="9093"/>
    <n v="1700"/>
    <n v="27"/>
    <n v="0.6428571428571429"/>
  </r>
  <r>
    <s v="C241"/>
    <n v="26"/>
    <x v="34"/>
    <n v="10"/>
    <s v="Q2 2023"/>
    <x v="0"/>
    <x v="1"/>
    <n v="6853"/>
    <n v="1900"/>
    <n v="36"/>
    <n v="0.78260869565217395"/>
  </r>
  <r>
    <s v="C559"/>
    <n v="29"/>
    <x v="22"/>
    <n v="8"/>
    <s v="Q1 2023"/>
    <x v="1"/>
    <x v="2"/>
    <n v="7756"/>
    <n v="1700"/>
    <n v="24"/>
    <n v="0.75"/>
  </r>
  <r>
    <s v="C448"/>
    <n v="24"/>
    <x v="4"/>
    <n v="7"/>
    <s v="Q1 2023"/>
    <x v="0"/>
    <x v="1"/>
    <n v="6084"/>
    <n v="1700"/>
    <n v="32"/>
    <n v="0.82051282051282048"/>
  </r>
  <r>
    <s v="C466"/>
    <n v="43"/>
    <x v="29"/>
    <n v="12"/>
    <s v="Q1 2023"/>
    <x v="1"/>
    <x v="4"/>
    <n v="10938"/>
    <n v="2500"/>
    <n v="42"/>
    <n v="0.77777777777777779"/>
  </r>
  <r>
    <s v="C530"/>
    <n v="40"/>
    <x v="8"/>
    <n v="14"/>
    <s v="Q1 2023"/>
    <x v="1"/>
    <x v="0"/>
    <n v="6075"/>
    <n v="1700"/>
    <n v="15"/>
    <n v="0.51724137931034486"/>
  </r>
  <r>
    <s v="C471"/>
    <n v="29"/>
    <x v="34"/>
    <n v="8"/>
    <s v="Q2 2023"/>
    <x v="0"/>
    <x v="1"/>
    <n v="8436"/>
    <n v="1900"/>
    <n v="38"/>
    <n v="0.82608695652173914"/>
  </r>
  <r>
    <s v="C525"/>
    <n v="22"/>
    <x v="38"/>
    <n v="11"/>
    <s v="Q2 2023"/>
    <x v="0"/>
    <x v="1"/>
    <n v="8997"/>
    <n v="2700"/>
    <n v="49"/>
    <n v="0.81666666666666665"/>
  </r>
  <r>
    <s v="C496"/>
    <n v="30"/>
    <x v="26"/>
    <n v="11"/>
    <s v="Q2 2023"/>
    <x v="1"/>
    <x v="2"/>
    <n v="9275"/>
    <n v="1700"/>
    <n v="24"/>
    <n v="0.68571428571428572"/>
  </r>
  <r>
    <s v="C710"/>
    <n v="50"/>
    <x v="8"/>
    <n v="13"/>
    <s v="Q1 2023"/>
    <x v="1"/>
    <x v="7"/>
    <n v="7156"/>
    <n v="1700"/>
    <n v="16"/>
    <n v="0.55172413793103448"/>
  </r>
  <r>
    <s v="C323"/>
    <n v="43"/>
    <x v="30"/>
    <n v="8"/>
    <s v="Q2 2023"/>
    <x v="1"/>
    <x v="4"/>
    <n v="7239"/>
    <n v="1900"/>
    <n v="40"/>
    <n v="0.83333333333333337"/>
  </r>
  <r>
    <s v="C728"/>
    <n v="42"/>
    <x v="13"/>
    <n v="11"/>
    <s v="Q1 2023"/>
    <x v="1"/>
    <x v="0"/>
    <n v="7706"/>
    <n v="1700"/>
    <n v="31"/>
    <n v="0.73809523809523814"/>
  </r>
  <r>
    <s v="C229"/>
    <n v="46"/>
    <x v="6"/>
    <n v="10"/>
    <s v="Q2 2023"/>
    <x v="1"/>
    <x v="4"/>
    <n v="8127"/>
    <n v="1700"/>
    <n v="34"/>
    <n v="0.77272727272727271"/>
  </r>
  <r>
    <s v="C774"/>
    <n v="48"/>
    <x v="24"/>
    <n v="7"/>
    <s v="Q1 2023"/>
    <x v="1"/>
    <x v="3"/>
    <n v="6503"/>
    <n v="1700"/>
    <n v="18"/>
    <n v="0.72"/>
  </r>
  <r>
    <s v="C446"/>
    <n v="24"/>
    <x v="22"/>
    <n v="6"/>
    <s v="Q1 2023"/>
    <x v="0"/>
    <x v="1"/>
    <n v="9703"/>
    <n v="1700"/>
    <n v="26"/>
    <n v="0.8125"/>
  </r>
  <r>
    <s v="C175"/>
    <n v="46"/>
    <x v="22"/>
    <n v="14"/>
    <s v="Q2 2023"/>
    <x v="1"/>
    <x v="4"/>
    <n v="9290"/>
    <n v="1700"/>
    <n v="18"/>
    <n v="0.5625"/>
  </r>
  <r>
    <s v="C655"/>
    <n v="27"/>
    <x v="10"/>
    <n v="12"/>
    <s v="Q2 2023"/>
    <x v="0"/>
    <x v="1"/>
    <n v="7472"/>
    <n v="1900"/>
    <n v="37"/>
    <n v="0.75510204081632648"/>
  </r>
  <r>
    <s v="C310"/>
    <n v="44"/>
    <x v="7"/>
    <n v="4"/>
    <s v="Q2 2023"/>
    <x v="1"/>
    <x v="4"/>
    <n v="9513"/>
    <n v="1700"/>
    <n v="22"/>
    <n v="0.84615384615384615"/>
  </r>
  <r>
    <s v="C750"/>
    <n v="33"/>
    <x v="14"/>
    <n v="11"/>
    <s v="Q1 2023"/>
    <x v="1"/>
    <x v="2"/>
    <n v="6161"/>
    <n v="1700"/>
    <n v="23"/>
    <n v="0.67647058823529416"/>
  </r>
  <r>
    <s v="C214"/>
    <n v="42"/>
    <x v="35"/>
    <n v="10"/>
    <s v="Q2 2023"/>
    <x v="0"/>
    <x v="0"/>
    <n v="23473"/>
    <n v="2500"/>
    <n v="47"/>
    <n v="0.82456140350877194"/>
  </r>
  <r>
    <s v="C729"/>
    <n v="48"/>
    <x v="4"/>
    <n v="5"/>
    <s v="Q2 2023"/>
    <x v="1"/>
    <x v="3"/>
    <n v="7553"/>
    <n v="1700"/>
    <n v="34"/>
    <n v="0.87179487179487181"/>
  </r>
  <r>
    <s v="C626"/>
    <n v="30"/>
    <x v="25"/>
    <n v="6"/>
    <s v="Q2 2023"/>
    <x v="0"/>
    <x v="2"/>
    <n v="9029"/>
    <n v="1700"/>
    <n v="34"/>
    <n v="0.85"/>
  </r>
  <r>
    <s v="C670"/>
    <n v="46"/>
    <x v="24"/>
    <n v="8"/>
    <s v="Q1 2023"/>
    <x v="1"/>
    <x v="4"/>
    <n v="7533"/>
    <n v="1700"/>
    <n v="17"/>
    <n v="0.68"/>
  </r>
  <r>
    <s v="C599"/>
    <n v="47"/>
    <x v="31"/>
    <n v="6"/>
    <s v="Q1 2023"/>
    <x v="1"/>
    <x v="3"/>
    <n v="7052"/>
    <n v="1900"/>
    <n v="46"/>
    <n v="0.88461538461538458"/>
  </r>
  <r>
    <s v="C518"/>
    <n v="45"/>
    <x v="17"/>
    <n v="11"/>
    <s v="Q2 2023"/>
    <x v="1"/>
    <x v="4"/>
    <n v="6296"/>
    <n v="1700"/>
    <n v="32"/>
    <n v="0.7441860465116279"/>
  </r>
  <r>
    <s v="C372"/>
    <n v="37"/>
    <x v="13"/>
    <n v="13"/>
    <s v="Q1 2023"/>
    <x v="1"/>
    <x v="2"/>
    <n v="7151"/>
    <n v="1700"/>
    <n v="29"/>
    <n v="0.69047619047619047"/>
  </r>
  <r>
    <s v="C109"/>
    <n v="34"/>
    <x v="36"/>
    <n v="8"/>
    <s v="Q1 2023"/>
    <x v="0"/>
    <x v="2"/>
    <n v="47242"/>
    <n v="2700"/>
    <n v="50"/>
    <n v="0.86206896551724133"/>
  </r>
  <r>
    <s v="C498"/>
    <n v="29"/>
    <x v="28"/>
    <n v="12"/>
    <s v="Q2 2023"/>
    <x v="0"/>
    <x v="2"/>
    <n v="6929"/>
    <n v="1700"/>
    <n v="29"/>
    <n v="0.70731707317073167"/>
  </r>
  <r>
    <s v="C512"/>
    <n v="49"/>
    <x v="17"/>
    <n v="9"/>
    <s v="Q1 2023"/>
    <x v="1"/>
    <x v="5"/>
    <n v="8112"/>
    <n v="1700"/>
    <n v="34"/>
    <n v="0.79069767441860461"/>
  </r>
  <r>
    <s v="C390"/>
    <n v="28"/>
    <x v="0"/>
    <n v="8"/>
    <s v="Q2 2023"/>
    <x v="0"/>
    <x v="1"/>
    <n v="22619"/>
    <n v="2500"/>
    <n v="48"/>
    <n v="0.8571428571428571"/>
  </r>
  <r>
    <s v="C283"/>
    <n v="29"/>
    <x v="16"/>
    <n v="5"/>
    <s v="Q1 2023"/>
    <x v="0"/>
    <x v="2"/>
    <n v="6080"/>
    <n v="1700"/>
    <n v="31"/>
    <n v="0.86111111111111116"/>
  </r>
  <r>
    <s v="C793"/>
    <n v="39"/>
    <x v="25"/>
    <n v="8"/>
    <s v="Q2 2023"/>
    <x v="1"/>
    <x v="0"/>
    <n v="6719"/>
    <n v="1700"/>
    <n v="32"/>
    <n v="0.8"/>
  </r>
  <r>
    <s v="C387"/>
    <n v="25"/>
    <x v="29"/>
    <n v="2"/>
    <s v="Q1 2023"/>
    <x v="0"/>
    <x v="1"/>
    <n v="37886"/>
    <n v="2500"/>
    <n v="52"/>
    <n v="0.96296296296296291"/>
  </r>
  <r>
    <s v="C260"/>
    <n v="46"/>
    <x v="14"/>
    <n v="10"/>
    <s v="Q2 2023"/>
    <x v="1"/>
    <x v="4"/>
    <n v="6586"/>
    <n v="1700"/>
    <n v="24"/>
    <n v="0.70588235294117652"/>
  </r>
  <r>
    <s v="C568"/>
    <n v="31"/>
    <x v="14"/>
    <n v="8"/>
    <s v="Q1 2023"/>
    <x v="1"/>
    <x v="2"/>
    <n v="8700"/>
    <n v="1700"/>
    <n v="26"/>
    <n v="0.76470588235294112"/>
  </r>
  <r>
    <s v="C677"/>
    <n v="28"/>
    <x v="28"/>
    <n v="11"/>
    <s v="Q2 2023"/>
    <x v="0"/>
    <x v="1"/>
    <n v="8225"/>
    <n v="1700"/>
    <n v="30"/>
    <n v="0.73170731707317072"/>
  </r>
  <r>
    <s v="C183"/>
    <n v="21"/>
    <x v="18"/>
    <n v="9"/>
    <s v="Q2 2023"/>
    <x v="0"/>
    <x v="1"/>
    <n v="7524"/>
    <n v="1700"/>
    <n v="22"/>
    <n v="0.70967741935483875"/>
  </r>
  <r>
    <s v="C292"/>
    <n v="21"/>
    <x v="1"/>
    <n v="14"/>
    <s v="Q1 2023"/>
    <x v="0"/>
    <x v="1"/>
    <n v="54073"/>
    <n v="2500"/>
    <n v="41"/>
    <n v="0.74545454545454548"/>
  </r>
  <r>
    <s v="C421"/>
    <n v="38"/>
    <x v="15"/>
    <n v="9"/>
    <s v="Q1 2023"/>
    <x v="0"/>
    <x v="0"/>
    <n v="7607"/>
    <n v="1900"/>
    <n v="44"/>
    <n v="0.83018867924528306"/>
  </r>
  <r>
    <s v="C101"/>
    <n v="37"/>
    <x v="1"/>
    <n v="5"/>
    <s v="Q1 2023"/>
    <x v="0"/>
    <x v="0"/>
    <n v="32908"/>
    <n v="2500"/>
    <n v="50"/>
    <n v="0.90909090909090906"/>
  </r>
  <r>
    <s v="C618"/>
    <n v="45"/>
    <x v="23"/>
    <n v="9"/>
    <s v="Q2 2023"/>
    <x v="1"/>
    <x v="4"/>
    <n v="7903"/>
    <n v="1700"/>
    <n v="24"/>
    <n v="0.72727272727272729"/>
  </r>
  <r>
    <s v="C259"/>
    <n v="30"/>
    <x v="34"/>
    <n v="15"/>
    <s v="Q2 2023"/>
    <x v="0"/>
    <x v="2"/>
    <n v="6223"/>
    <n v="1900"/>
    <n v="31"/>
    <n v="0.67391304347826086"/>
  </r>
  <r>
    <s v="C704"/>
    <n v="37"/>
    <x v="32"/>
    <n v="13"/>
    <s v="Q1 2023"/>
    <x v="1"/>
    <x v="0"/>
    <n v="8133"/>
    <n v="1700"/>
    <n v="15"/>
    <n v="0.5357142857142857"/>
  </r>
  <r>
    <s v="C370"/>
    <n v="39"/>
    <x v="34"/>
    <n v="12"/>
    <s v="Q1 2023"/>
    <x v="1"/>
    <x v="0"/>
    <n v="9707"/>
    <n v="1900"/>
    <n v="34"/>
    <n v="0.73913043478260865"/>
  </r>
  <r>
    <s v="C130"/>
    <n v="42"/>
    <x v="20"/>
    <n v="5"/>
    <s v="Q2 2023"/>
    <x v="0"/>
    <x v="0"/>
    <n v="44789"/>
    <n v="2700"/>
    <n v="54"/>
    <n v="0.9152542372881356"/>
  </r>
  <r>
    <s v="C305"/>
    <n v="20"/>
    <x v="32"/>
    <n v="12"/>
    <s v="Q2 2023"/>
    <x v="1"/>
    <x v="1"/>
    <n v="8966"/>
    <n v="1700"/>
    <n v="16"/>
    <n v="0.5714285714285714"/>
  </r>
  <r>
    <s v="C337"/>
    <n v="46"/>
    <x v="18"/>
    <n v="7"/>
    <s v="Q1 2023"/>
    <x v="1"/>
    <x v="4"/>
    <n v="8507"/>
    <n v="1700"/>
    <n v="24"/>
    <n v="0.77419354838709675"/>
  </r>
  <r>
    <s v="C541"/>
    <n v="42"/>
    <x v="3"/>
    <n v="6"/>
    <s v="Q2 2023"/>
    <x v="0"/>
    <x v="0"/>
    <n v="9012"/>
    <n v="1900"/>
    <n v="44"/>
    <n v="0.88"/>
  </r>
  <r>
    <s v="C291"/>
    <n v="23"/>
    <x v="12"/>
    <n v="9"/>
    <s v="Q2 2023"/>
    <x v="1"/>
    <x v="1"/>
    <n v="9410"/>
    <n v="1700"/>
    <n v="21"/>
    <n v="0.7"/>
  </r>
  <r>
    <s v="C714"/>
    <n v="20"/>
    <x v="16"/>
    <n v="6"/>
    <s v="Q2 2023"/>
    <x v="0"/>
    <x v="1"/>
    <n v="9691"/>
    <n v="1700"/>
    <n v="30"/>
    <n v="0.83333333333333337"/>
  </r>
  <r>
    <s v="C115"/>
    <n v="40"/>
    <x v="29"/>
    <n v="11"/>
    <s v="Q2 2023"/>
    <x v="0"/>
    <x v="0"/>
    <n v="18261"/>
    <n v="2500"/>
    <n v="43"/>
    <n v="0.79629629629629628"/>
  </r>
  <r>
    <s v="C133"/>
    <n v="34"/>
    <x v="33"/>
    <n v="11"/>
    <s v="Q2 2023"/>
    <x v="1"/>
    <x v="2"/>
    <n v="8143"/>
    <n v="1700"/>
    <n v="26"/>
    <n v="0.70270270270270274"/>
  </r>
  <r>
    <s v="C179"/>
    <n v="34"/>
    <x v="26"/>
    <n v="10"/>
    <s v="Q2 2023"/>
    <x v="1"/>
    <x v="2"/>
    <n v="8436"/>
    <n v="1700"/>
    <n v="25"/>
    <n v="0.7142857142857143"/>
  </r>
  <r>
    <s v="C367"/>
    <n v="36"/>
    <x v="29"/>
    <n v="15"/>
    <s v="Q1 2023"/>
    <x v="0"/>
    <x v="2"/>
    <n v="43162"/>
    <n v="2500"/>
    <n v="39"/>
    <n v="0.72222222222222221"/>
  </r>
  <r>
    <s v="C216"/>
    <n v="45"/>
    <x v="2"/>
    <n v="13"/>
    <s v="Q2 2023"/>
    <x v="1"/>
    <x v="4"/>
    <n v="7665"/>
    <n v="1900"/>
    <n v="38"/>
    <n v="0.74509803921568629"/>
  </r>
  <r>
    <s v="C587"/>
    <n v="38"/>
    <x v="2"/>
    <n v="10"/>
    <s v="Q1 2023"/>
    <x v="0"/>
    <x v="0"/>
    <n v="6531"/>
    <n v="1900"/>
    <n v="41"/>
    <n v="0.80392156862745101"/>
  </r>
  <r>
    <s v="C327"/>
    <n v="34"/>
    <x v="14"/>
    <n v="14"/>
    <s v="Q1 2023"/>
    <x v="1"/>
    <x v="2"/>
    <n v="7692"/>
    <n v="1700"/>
    <n v="20"/>
    <n v="0.58823529411764708"/>
  </r>
  <r>
    <s v="C610"/>
    <n v="24"/>
    <x v="3"/>
    <n v="13"/>
    <s v="Q1 2023"/>
    <x v="0"/>
    <x v="1"/>
    <n v="8824"/>
    <n v="1900"/>
    <n v="37"/>
    <n v="0.74"/>
  </r>
  <r>
    <s v="C306"/>
    <n v="38"/>
    <x v="32"/>
    <n v="11"/>
    <s v="Q1 2023"/>
    <x v="1"/>
    <x v="0"/>
    <n v="8733"/>
    <n v="1700"/>
    <n v="17"/>
    <n v="0.6071428571428571"/>
  </r>
  <r>
    <s v="C408"/>
    <n v="42"/>
    <x v="21"/>
    <n v="10"/>
    <s v="Q2 2023"/>
    <x v="1"/>
    <x v="0"/>
    <n v="9346"/>
    <n v="1700"/>
    <n v="28"/>
    <n v="0.73684210526315785"/>
  </r>
  <r>
    <s v="C132"/>
    <n v="27"/>
    <x v="14"/>
    <n v="10"/>
    <s v="Q2 2023"/>
    <x v="1"/>
    <x v="1"/>
    <n v="7867"/>
    <n v="1700"/>
    <n v="24"/>
    <n v="0.70588235294117652"/>
  </r>
  <r>
    <s v="C657"/>
    <n v="39"/>
    <x v="7"/>
    <n v="7"/>
    <s v="Q2 2023"/>
    <x v="1"/>
    <x v="0"/>
    <n v="6016"/>
    <n v="1700"/>
    <n v="19"/>
    <n v="0.73076923076923073"/>
  </r>
  <r>
    <s v="C659"/>
    <n v="44"/>
    <x v="32"/>
    <n v="9"/>
    <s v="Q1 2023"/>
    <x v="1"/>
    <x v="4"/>
    <n v="7193"/>
    <n v="1700"/>
    <n v="19"/>
    <n v="0.6785714285714286"/>
  </r>
  <r>
    <s v="C136"/>
    <n v="48"/>
    <x v="34"/>
    <n v="8"/>
    <s v="Q1 2023"/>
    <x v="1"/>
    <x v="3"/>
    <n v="8941"/>
    <n v="1900"/>
    <n v="38"/>
    <n v="0.82608695652173914"/>
  </r>
  <r>
    <s v="C633"/>
    <n v="43"/>
    <x v="35"/>
    <n v="12"/>
    <s v="Q2 2023"/>
    <x v="0"/>
    <x v="0"/>
    <n v="41466"/>
    <n v="2500"/>
    <n v="45"/>
    <n v="0.78947368421052633"/>
  </r>
  <r>
    <s v="C168"/>
    <n v="34"/>
    <x v="32"/>
    <n v="7"/>
    <s v="Q2 2023"/>
    <x v="1"/>
    <x v="2"/>
    <n v="8667"/>
    <n v="1700"/>
    <n v="21"/>
    <n v="0.75"/>
  </r>
  <r>
    <s v="C180"/>
    <n v="44"/>
    <x v="24"/>
    <n v="7"/>
    <s v="Q1 2023"/>
    <x v="1"/>
    <x v="4"/>
    <n v="8195"/>
    <n v="1700"/>
    <n v="18"/>
    <n v="0.72"/>
  </r>
  <r>
    <s v="C622"/>
    <n v="28"/>
    <x v="3"/>
    <n v="15"/>
    <s v="Q2 2023"/>
    <x v="0"/>
    <x v="1"/>
    <n v="9297"/>
    <n v="1900"/>
    <n v="35"/>
    <n v="0.7"/>
  </r>
  <r>
    <s v="C440"/>
    <n v="43"/>
    <x v="10"/>
    <n v="11"/>
    <s v="Q2 2023"/>
    <x v="1"/>
    <x v="0"/>
    <n v="6080"/>
    <n v="1900"/>
    <n v="38"/>
    <n v="0.77551020408163263"/>
  </r>
  <r>
    <s v="C339"/>
    <n v="48"/>
    <x v="34"/>
    <n v="7"/>
    <s v="Q2 2023"/>
    <x v="1"/>
    <x v="3"/>
    <n v="8930"/>
    <n v="1900"/>
    <n v="39"/>
    <n v="0.84782608695652173"/>
  </r>
  <r>
    <s v="C364"/>
    <n v="35"/>
    <x v="22"/>
    <n v="7"/>
    <s v="Q1 2023"/>
    <x v="1"/>
    <x v="2"/>
    <n v="9405"/>
    <n v="1700"/>
    <n v="25"/>
    <n v="0.78125"/>
  </r>
  <r>
    <s v="C375"/>
    <n v="32"/>
    <x v="14"/>
    <n v="8"/>
    <s v="Q1 2023"/>
    <x v="1"/>
    <x v="2"/>
    <n v="9959"/>
    <n v="1700"/>
    <n v="26"/>
    <n v="0.76470588235294112"/>
  </r>
  <r>
    <s v="C332"/>
    <n v="50"/>
    <x v="18"/>
    <n v="8"/>
    <s v="Q2 2023"/>
    <x v="1"/>
    <x v="6"/>
    <n v="8427"/>
    <n v="1700"/>
    <n v="23"/>
    <n v="0.74193548387096775"/>
  </r>
  <r>
    <s v="C189"/>
    <n v="35"/>
    <x v="28"/>
    <n v="16"/>
    <s v="Q2 2023"/>
    <x v="1"/>
    <x v="2"/>
    <n v="8523"/>
    <n v="1700"/>
    <n v="25"/>
    <n v="0.6097560975609756"/>
  </r>
  <r>
    <s v="C170"/>
    <n v="31"/>
    <x v="32"/>
    <n v="4"/>
    <s v="Q2 2023"/>
    <x v="1"/>
    <x v="2"/>
    <n v="6254"/>
    <n v="1700"/>
    <n v="24"/>
    <n v="0.8571428571428571"/>
  </r>
  <r>
    <s v="C381"/>
    <n v="21"/>
    <x v="34"/>
    <n v="14"/>
    <s v="Q1 2023"/>
    <x v="0"/>
    <x v="1"/>
    <n v="8370"/>
    <n v="1900"/>
    <n v="32"/>
    <n v="0.69565217391304346"/>
  </r>
  <r>
    <s v="C412"/>
    <n v="32"/>
    <x v="14"/>
    <n v="8"/>
    <s v="Q1 2023"/>
    <x v="1"/>
    <x v="2"/>
    <n v="8110"/>
    <n v="1700"/>
    <n v="26"/>
    <n v="0.76470588235294112"/>
  </r>
  <r>
    <s v="C799"/>
    <n v="34"/>
    <x v="36"/>
    <n v="10"/>
    <s v="Q1 2023"/>
    <x v="0"/>
    <x v="2"/>
    <n v="11967"/>
    <n v="2700"/>
    <n v="48"/>
    <n v="0.82758620689655171"/>
  </r>
  <r>
    <s v="C537"/>
    <n v="24"/>
    <x v="13"/>
    <n v="14"/>
    <s v="Q1 2023"/>
    <x v="0"/>
    <x v="1"/>
    <n v="8651"/>
    <n v="1700"/>
    <n v="28"/>
    <n v="0.66666666666666663"/>
  </r>
  <r>
    <s v="C159"/>
    <n v="37"/>
    <x v="15"/>
    <n v="13"/>
    <s v="Q1 2023"/>
    <x v="0"/>
    <x v="2"/>
    <n v="7441"/>
    <n v="1900"/>
    <n v="40"/>
    <n v="0.75471698113207553"/>
  </r>
  <r>
    <s v="C176"/>
    <n v="21"/>
    <x v="25"/>
    <n v="13"/>
    <s v="Q1 2023"/>
    <x v="0"/>
    <x v="1"/>
    <n v="9395"/>
    <n v="1700"/>
    <n v="27"/>
    <n v="0.67500000000000004"/>
  </r>
  <r>
    <s v="C243"/>
    <n v="40"/>
    <x v="38"/>
    <n v="14"/>
    <s v="Q1 2023"/>
    <x v="0"/>
    <x v="0"/>
    <n v="35842"/>
    <n v="2700"/>
    <n v="46"/>
    <n v="0.76666666666666672"/>
  </r>
  <r>
    <s v="C635"/>
    <n v="36"/>
    <x v="38"/>
    <n v="8"/>
    <s v="Q2 2023"/>
    <x v="0"/>
    <x v="2"/>
    <n v="27982"/>
    <n v="2700"/>
    <n v="52"/>
    <n v="0.8666666666666667"/>
  </r>
  <r>
    <s v="C225"/>
    <n v="40"/>
    <x v="16"/>
    <n v="12"/>
    <s v="Q1 2023"/>
    <x v="1"/>
    <x v="0"/>
    <n v="6793"/>
    <n v="1700"/>
    <n v="24"/>
    <n v="0.66666666666666663"/>
  </r>
  <r>
    <s v="C126"/>
    <n v="44"/>
    <x v="8"/>
    <n v="13"/>
    <s v="Q1 2023"/>
    <x v="1"/>
    <x v="4"/>
    <n v="6633"/>
    <n v="1700"/>
    <n v="16"/>
    <n v="0.55172413793103448"/>
  </r>
  <r>
    <s v="C428"/>
    <n v="21"/>
    <x v="26"/>
    <n v="13"/>
    <s v="Q1 2023"/>
    <x v="0"/>
    <x v="1"/>
    <n v="6107"/>
    <n v="1700"/>
    <n v="22"/>
    <n v="0.62857142857142856"/>
  </r>
  <r>
    <s v="C651"/>
    <n v="20"/>
    <x v="20"/>
    <n v="8"/>
    <s v="Q1 2023"/>
    <x v="0"/>
    <x v="1"/>
    <n v="40204"/>
    <n v="2700"/>
    <n v="51"/>
    <n v="0.86440677966101698"/>
  </r>
  <r>
    <s v="C398"/>
    <n v="37"/>
    <x v="25"/>
    <n v="9"/>
    <s v="Q1 2023"/>
    <x v="1"/>
    <x v="0"/>
    <n v="8798"/>
    <n v="1700"/>
    <n v="31"/>
    <n v="0.77500000000000002"/>
  </r>
  <r>
    <s v="C250"/>
    <n v="39"/>
    <x v="1"/>
    <n v="13"/>
    <s v="Q2 2023"/>
    <x v="0"/>
    <x v="0"/>
    <n v="22047"/>
    <n v="2500"/>
    <n v="42"/>
    <n v="0.76363636363636367"/>
  </r>
  <r>
    <s v="C402"/>
    <n v="26"/>
    <x v="8"/>
    <n v="17"/>
    <s v="Q1 2023"/>
    <x v="1"/>
    <x v="1"/>
    <n v="8362"/>
    <n v="1700"/>
    <n v="12"/>
    <n v="0.41379310344827586"/>
  </r>
  <r>
    <s v="C734"/>
    <n v="28"/>
    <x v="22"/>
    <n v="16"/>
    <s v="Q1 2023"/>
    <x v="1"/>
    <x v="1"/>
    <n v="7119"/>
    <n v="1700"/>
    <n v="16"/>
    <n v="0.5"/>
  </r>
  <r>
    <s v="C191"/>
    <n v="30"/>
    <x v="12"/>
    <n v="7"/>
    <s v="Q2 2023"/>
    <x v="1"/>
    <x v="2"/>
    <n v="7882"/>
    <n v="1700"/>
    <n v="23"/>
    <n v="0.76666666666666672"/>
  </r>
  <r>
    <s v="C668"/>
    <n v="34"/>
    <x v="8"/>
    <n v="4"/>
    <s v="Q2 2023"/>
    <x v="1"/>
    <x v="2"/>
    <n v="6433"/>
    <n v="1700"/>
    <n v="25"/>
    <n v="0.86206896551724133"/>
  </r>
  <r>
    <s v="C740"/>
    <n v="39"/>
    <x v="6"/>
    <n v="8"/>
    <s v="Q2 2023"/>
    <x v="1"/>
    <x v="0"/>
    <n v="9685"/>
    <n v="1700"/>
    <n v="36"/>
    <n v="0.81818181818181823"/>
  </r>
  <r>
    <s v="C479"/>
    <n v="47"/>
    <x v="14"/>
    <n v="12"/>
    <s v="Q2 2023"/>
    <x v="1"/>
    <x v="3"/>
    <n v="8279"/>
    <n v="1700"/>
    <n v="22"/>
    <n v="0.6470588235294118"/>
  </r>
  <r>
    <s v="C211"/>
    <n v="27"/>
    <x v="22"/>
    <n v="8"/>
    <s v="Q1 2023"/>
    <x v="1"/>
    <x v="1"/>
    <n v="9555"/>
    <n v="1700"/>
    <n v="24"/>
    <n v="0.75"/>
  </r>
  <r>
    <s v="C190"/>
    <n v="46"/>
    <x v="28"/>
    <n v="10"/>
    <s v="Q2 2023"/>
    <x v="1"/>
    <x v="4"/>
    <n v="6908"/>
    <n v="1700"/>
    <n v="31"/>
    <n v="0.75609756097560976"/>
  </r>
  <r>
    <s v="C683"/>
    <n v="42"/>
    <x v="10"/>
    <n v="14"/>
    <s v="Q2 2023"/>
    <x v="1"/>
    <x v="0"/>
    <n v="9122"/>
    <n v="1900"/>
    <n v="35"/>
    <n v="0.7142857142857143"/>
  </r>
  <r>
    <s v="C613"/>
    <n v="43"/>
    <x v="0"/>
    <n v="9"/>
    <s v="Q1 2023"/>
    <x v="0"/>
    <x v="0"/>
    <n v="35760"/>
    <n v="2500"/>
    <n v="47"/>
    <n v="0.8392857142857143"/>
  </r>
  <r>
    <s v="C468"/>
    <n v="24"/>
    <x v="20"/>
    <n v="13"/>
    <s v="Q1 2023"/>
    <x v="0"/>
    <x v="1"/>
    <n v="25777"/>
    <n v="2700"/>
    <n v="46"/>
    <n v="0.77966101694915257"/>
  </r>
  <r>
    <s v="C186"/>
    <n v="42"/>
    <x v="14"/>
    <n v="10"/>
    <s v="Q1 2023"/>
    <x v="1"/>
    <x v="0"/>
    <n v="8004"/>
    <n v="1700"/>
    <n v="24"/>
    <n v="0.70588235294117652"/>
  </r>
  <r>
    <s v="C575"/>
    <n v="46"/>
    <x v="13"/>
    <n v="11"/>
    <s v="Q2 2023"/>
    <x v="1"/>
    <x v="4"/>
    <n v="6027"/>
    <n v="1700"/>
    <n v="31"/>
    <n v="0.73809523809523814"/>
  </r>
  <r>
    <s v="C322"/>
    <n v="28"/>
    <x v="26"/>
    <n v="9"/>
    <s v="Q2 2023"/>
    <x v="1"/>
    <x v="1"/>
    <n v="7453"/>
    <n v="1700"/>
    <n v="26"/>
    <n v="0.74285714285714288"/>
  </r>
  <r>
    <s v="C585"/>
    <n v="44"/>
    <x v="17"/>
    <n v="10"/>
    <s v="Q1 2023"/>
    <x v="1"/>
    <x v="4"/>
    <n v="7006"/>
    <n v="1700"/>
    <n v="33"/>
    <n v="0.76744186046511631"/>
  </r>
  <r>
    <s v="C749"/>
    <n v="46"/>
    <x v="37"/>
    <n v="10"/>
    <s v="Q1 2023"/>
    <x v="1"/>
    <x v="4"/>
    <n v="6951"/>
    <n v="1700"/>
    <n v="17"/>
    <n v="0.62962962962962965"/>
  </r>
  <r>
    <s v="C473"/>
    <n v="26"/>
    <x v="16"/>
    <n v="8"/>
    <s v="Q2 2023"/>
    <x v="0"/>
    <x v="1"/>
    <n v="9112"/>
    <n v="1700"/>
    <n v="28"/>
    <n v="0.77777777777777779"/>
  </r>
  <r>
    <s v="C407"/>
    <n v="24"/>
    <x v="1"/>
    <n v="4"/>
    <s v="Q1 2023"/>
    <x v="0"/>
    <x v="1"/>
    <n v="40855"/>
    <n v="2500"/>
    <n v="51"/>
    <n v="0.92727272727272725"/>
  </r>
  <r>
    <s v="C232"/>
    <n v="47"/>
    <x v="26"/>
    <n v="6"/>
    <s v="Q2 2023"/>
    <x v="1"/>
    <x v="3"/>
    <n v="9977"/>
    <n v="1700"/>
    <n v="29"/>
    <n v="0.82857142857142863"/>
  </r>
  <r>
    <s v="C112"/>
    <n v="36"/>
    <x v="7"/>
    <n v="12"/>
    <s v="Q1 2023"/>
    <x v="1"/>
    <x v="2"/>
    <n v="7218"/>
    <n v="1700"/>
    <n v="14"/>
    <n v="0.53846153846153844"/>
  </r>
  <r>
    <s v="C267"/>
    <n v="41"/>
    <x v="25"/>
    <n v="14"/>
    <s v="Q1 2023"/>
    <x v="1"/>
    <x v="0"/>
    <n v="8345"/>
    <n v="1700"/>
    <n v="26"/>
    <n v="0.65"/>
  </r>
  <r>
    <s v="C147"/>
    <n v="20"/>
    <x v="1"/>
    <n v="5"/>
    <s v="Q2 2023"/>
    <x v="0"/>
    <x v="1"/>
    <n v="46321"/>
    <n v="2500"/>
    <n v="50"/>
    <n v="0.90909090909090906"/>
  </r>
  <r>
    <s v="C414"/>
    <n v="33"/>
    <x v="32"/>
    <n v="9"/>
    <s v="Q1 2023"/>
    <x v="1"/>
    <x v="2"/>
    <n v="8751"/>
    <n v="1700"/>
    <n v="19"/>
    <n v="0.6785714285714286"/>
  </r>
  <r>
    <s v="C716"/>
    <n v="25"/>
    <x v="14"/>
    <n v="10"/>
    <s v="Q2 2023"/>
    <x v="1"/>
    <x v="1"/>
    <n v="7375"/>
    <n v="1700"/>
    <n v="24"/>
    <n v="0.70588235294117652"/>
  </r>
  <r>
    <s v="C678"/>
    <n v="28"/>
    <x v="29"/>
    <n v="7"/>
    <s v="Q1 2023"/>
    <x v="0"/>
    <x v="1"/>
    <n v="55743"/>
    <n v="2500"/>
    <n v="47"/>
    <n v="0.87037037037037035"/>
  </r>
  <r>
    <s v="C590"/>
    <n v="27"/>
    <x v="16"/>
    <n v="4"/>
    <s v="Q2 2023"/>
    <x v="0"/>
    <x v="1"/>
    <n v="7210"/>
    <n v="1700"/>
    <n v="32"/>
    <n v="0.88888888888888884"/>
  </r>
  <r>
    <s v="C790"/>
    <n v="22"/>
    <x v="18"/>
    <n v="13"/>
    <s v="Q1 2023"/>
    <x v="1"/>
    <x v="1"/>
    <n v="6900"/>
    <n v="1700"/>
    <n v="18"/>
    <n v="0.58064516129032262"/>
  </r>
  <r>
    <s v="C315"/>
    <n v="49"/>
    <x v="1"/>
    <n v="15"/>
    <s v="Q2 2023"/>
    <x v="1"/>
    <x v="6"/>
    <n v="30166"/>
    <n v="2500"/>
    <n v="40"/>
    <n v="0.72727272727272729"/>
  </r>
  <r>
    <s v="C616"/>
    <n v="22"/>
    <x v="23"/>
    <n v="8"/>
    <s v="Q2 2023"/>
    <x v="0"/>
    <x v="1"/>
    <n v="6064"/>
    <n v="1700"/>
    <n v="25"/>
    <n v="0.75757575757575757"/>
  </r>
  <r>
    <s v="C201"/>
    <n v="46"/>
    <x v="7"/>
    <n v="12"/>
    <s v="Q1 2023"/>
    <x v="1"/>
    <x v="4"/>
    <n v="9719"/>
    <n v="1700"/>
    <n v="14"/>
    <n v="0.53846153846153844"/>
  </r>
  <r>
    <s v="C455"/>
    <n v="36"/>
    <x v="31"/>
    <n v="12"/>
    <s v="Q2 2023"/>
    <x v="0"/>
    <x v="2"/>
    <n v="6332"/>
    <n v="1900"/>
    <n v="40"/>
    <n v="0.76923076923076927"/>
  </r>
  <r>
    <s v="C340"/>
    <n v="30"/>
    <x v="20"/>
    <n v="12"/>
    <s v="Q1 2023"/>
    <x v="0"/>
    <x v="2"/>
    <n v="22154"/>
    <n v="2700"/>
    <n v="47"/>
    <n v="0.79661016949152541"/>
  </r>
  <r>
    <s v="C736"/>
    <n v="25"/>
    <x v="31"/>
    <n v="10"/>
    <s v="Q1 2023"/>
    <x v="0"/>
    <x v="1"/>
    <n v="7744"/>
    <n v="1900"/>
    <n v="42"/>
    <n v="0.80769230769230771"/>
  </r>
  <r>
    <s v="C328"/>
    <n v="46"/>
    <x v="4"/>
    <n v="12"/>
    <s v="Q2 2023"/>
    <x v="1"/>
    <x v="4"/>
    <n v="8629"/>
    <n v="1700"/>
    <n v="27"/>
    <n v="0.69230769230769229"/>
  </r>
  <r>
    <s v="C688"/>
    <n v="26"/>
    <x v="4"/>
    <n v="10"/>
    <s v="Q1 2023"/>
    <x v="0"/>
    <x v="1"/>
    <n v="8324"/>
    <n v="1700"/>
    <n v="29"/>
    <n v="0.74358974358974361"/>
  </r>
  <r>
    <s v="C595"/>
    <n v="44"/>
    <x v="8"/>
    <n v="11"/>
    <s v="Q1 2023"/>
    <x v="1"/>
    <x v="4"/>
    <n v="9558"/>
    <n v="1700"/>
    <n v="18"/>
    <n v="0.62068965517241381"/>
  </r>
  <r>
    <s v="C172"/>
    <n v="29"/>
    <x v="2"/>
    <n v="12"/>
    <s v="Q1 2023"/>
    <x v="0"/>
    <x v="2"/>
    <n v="7416"/>
    <n v="1900"/>
    <n v="39"/>
    <n v="0.76470588235294112"/>
  </r>
  <r>
    <s v="C209"/>
    <n v="42"/>
    <x v="19"/>
    <n v="11"/>
    <s v="Q1 2023"/>
    <x v="1"/>
    <x v="0"/>
    <n v="6822"/>
    <n v="1900"/>
    <n v="36"/>
    <n v="0.76595744680851063"/>
  </r>
  <r>
    <s v="C700"/>
    <n v="40"/>
    <x v="36"/>
    <n v="10"/>
    <s v="Q2 2023"/>
    <x v="0"/>
    <x v="0"/>
    <n v="15462"/>
    <n v="2700"/>
    <n v="48"/>
    <n v="0.82758620689655171"/>
  </r>
  <r>
    <s v="C329"/>
    <n v="36"/>
    <x v="13"/>
    <n v="11"/>
    <s v="Q2 2023"/>
    <x v="1"/>
    <x v="2"/>
    <n v="8013"/>
    <n v="1700"/>
    <n v="31"/>
    <n v="0.73809523809523814"/>
  </r>
  <r>
    <s v="C520"/>
    <n v="31"/>
    <x v="28"/>
    <n v="11"/>
    <s v="Q2 2023"/>
    <x v="1"/>
    <x v="2"/>
    <n v="9427"/>
    <n v="1700"/>
    <n v="30"/>
    <n v="0.73170731707317072"/>
  </r>
  <r>
    <s v="C644"/>
    <n v="32"/>
    <x v="38"/>
    <n v="11"/>
    <s v="Q1 2023"/>
    <x v="0"/>
    <x v="2"/>
    <n v="35080"/>
    <n v="2700"/>
    <n v="49"/>
    <n v="0.81666666666666665"/>
  </r>
  <r>
    <s v="C102"/>
    <n v="27"/>
    <x v="20"/>
    <n v="12"/>
    <s v="Q1 2023"/>
    <x v="0"/>
    <x v="1"/>
    <n v="37192"/>
    <n v="2700"/>
    <n v="47"/>
    <n v="0.79661016949152541"/>
  </r>
  <r>
    <s v="C106"/>
    <n v="23"/>
    <x v="22"/>
    <n v="8"/>
    <s v="Q1 2023"/>
    <x v="0"/>
    <x v="1"/>
    <n v="7566"/>
    <n v="1700"/>
    <n v="24"/>
    <n v="0.75"/>
  </r>
  <r>
    <s v="C632"/>
    <n v="26"/>
    <x v="21"/>
    <n v="8"/>
    <s v="Q2 2023"/>
    <x v="0"/>
    <x v="1"/>
    <n v="7130"/>
    <n v="1700"/>
    <n v="30"/>
    <n v="0.78947368421052633"/>
  </r>
  <r>
    <s v="C333"/>
    <n v="36"/>
    <x v="7"/>
    <n v="8"/>
    <s v="Q1 2023"/>
    <x v="1"/>
    <x v="2"/>
    <n v="7928"/>
    <n v="1700"/>
    <n v="18"/>
    <n v="0.69230769230769229"/>
  </r>
  <r>
    <s v="C365"/>
    <n v="37"/>
    <x v="6"/>
    <n v="10"/>
    <s v="Q2 2023"/>
    <x v="1"/>
    <x v="2"/>
    <n v="8581"/>
    <n v="1900"/>
    <n v="34"/>
    <n v="0.77272727272727271"/>
  </r>
  <r>
    <s v="C467"/>
    <n v="44"/>
    <x v="16"/>
    <n v="8"/>
    <s v="Q2 2023"/>
    <x v="1"/>
    <x v="4"/>
    <n v="8908"/>
    <n v="1700"/>
    <n v="28"/>
    <n v="0.77777777777777779"/>
  </r>
  <r>
    <s v="C161"/>
    <n v="34"/>
    <x v="28"/>
    <n v="11"/>
    <s v="Q1 2023"/>
    <x v="1"/>
    <x v="2"/>
    <n v="6575"/>
    <n v="1700"/>
    <n v="30"/>
    <n v="0.73170731707317072"/>
  </r>
  <r>
    <s v="C427"/>
    <n v="48"/>
    <x v="33"/>
    <n v="9"/>
    <s v="Q1 2023"/>
    <x v="1"/>
    <x v="3"/>
    <n v="6366"/>
    <n v="1700"/>
    <n v="28"/>
    <n v="0.7567567567567568"/>
  </r>
  <r>
    <s v="C553"/>
    <n v="46"/>
    <x v="16"/>
    <n v="11"/>
    <s v="Q2 2023"/>
    <x v="1"/>
    <x v="4"/>
    <n v="9212"/>
    <n v="1700"/>
    <n v="25"/>
    <n v="0.69444444444444442"/>
  </r>
  <r>
    <s v="C780"/>
    <n v="26"/>
    <x v="29"/>
    <n v="8"/>
    <s v="Q2 2023"/>
    <x v="0"/>
    <x v="1"/>
    <n v="15085"/>
    <n v="2500"/>
    <n v="46"/>
    <n v="0.85185185185185186"/>
  </r>
  <r>
    <s v="C756"/>
    <n v="31"/>
    <x v="29"/>
    <n v="12"/>
    <s v="Q1 2023"/>
    <x v="0"/>
    <x v="2"/>
    <n v="30931"/>
    <n v="2500"/>
    <n v="42"/>
    <n v="0.77777777777777779"/>
  </r>
  <r>
    <s v="C722"/>
    <n v="35"/>
    <x v="12"/>
    <n v="11"/>
    <s v="Q2 2023"/>
    <x v="1"/>
    <x v="2"/>
    <n v="8502"/>
    <n v="1700"/>
    <n v="19"/>
    <n v="0.6333333333333333"/>
  </r>
  <r>
    <s v="C383"/>
    <n v="40"/>
    <x v="9"/>
    <n v="11"/>
    <s v="Q1 2023"/>
    <x v="1"/>
    <x v="0"/>
    <n v="6300"/>
    <n v="1900"/>
    <n v="34"/>
    <n v="0.75555555555555554"/>
  </r>
  <r>
    <s v="C287"/>
    <n v="26"/>
    <x v="7"/>
    <n v="11"/>
    <s v="Q2 2023"/>
    <x v="1"/>
    <x v="1"/>
    <n v="8402"/>
    <n v="1700"/>
    <n v="15"/>
    <n v="0.57692307692307687"/>
  </r>
  <r>
    <s v="C368"/>
    <n v="45"/>
    <x v="0"/>
    <n v="9"/>
    <s v="Q1 2023"/>
    <x v="0"/>
    <x v="4"/>
    <n v="23146"/>
    <n v="2500"/>
    <n v="47"/>
    <n v="0.8392857142857143"/>
  </r>
  <r>
    <s v="C707"/>
    <n v="36"/>
    <x v="18"/>
    <n v="10"/>
    <s v="Q2 2023"/>
    <x v="1"/>
    <x v="2"/>
    <n v="6482"/>
    <n v="1700"/>
    <n v="21"/>
    <n v="0.67741935483870963"/>
  </r>
  <r>
    <s v="C393"/>
    <n v="43"/>
    <x v="14"/>
    <n v="8"/>
    <s v="Q2 2023"/>
    <x v="1"/>
    <x v="0"/>
    <n v="6289"/>
    <n v="1700"/>
    <n v="26"/>
    <n v="0.76470588235294112"/>
  </r>
  <r>
    <s v="C156"/>
    <n v="43"/>
    <x v="30"/>
    <n v="8"/>
    <s v="Q2 2023"/>
    <x v="1"/>
    <x v="0"/>
    <n v="7498"/>
    <n v="1900"/>
    <n v="40"/>
    <n v="0.83333333333333337"/>
  </r>
  <r>
    <s v="C572"/>
    <n v="36"/>
    <x v="0"/>
    <n v="8"/>
    <s v="Q2 2023"/>
    <x v="0"/>
    <x v="2"/>
    <n v="56970"/>
    <n v="2500"/>
    <n v="48"/>
    <n v="0.8571428571428571"/>
  </r>
  <r>
    <s v="C625"/>
    <n v="49"/>
    <x v="39"/>
    <n v="7"/>
    <s v="Q2 2023"/>
    <x v="0"/>
    <x v="6"/>
    <n v="51777"/>
    <n v="2500"/>
    <n v="71"/>
    <n v="0.91025641025641024"/>
  </r>
  <r>
    <s v="C580"/>
    <n v="32"/>
    <x v="28"/>
    <n v="8"/>
    <s v="Q1 2023"/>
    <x v="0"/>
    <x v="2"/>
    <n v="7100"/>
    <n v="1700"/>
    <n v="33"/>
    <n v="0.80487804878048785"/>
  </r>
  <r>
    <s v="C227"/>
    <n v="48"/>
    <x v="20"/>
    <n v="11"/>
    <s v="Q2 2023"/>
    <x v="0"/>
    <x v="3"/>
    <n v="19076"/>
    <n v="2700"/>
    <n v="48"/>
    <n v="0.81355932203389836"/>
  </r>
  <r>
    <s v="C416"/>
    <n v="24"/>
    <x v="32"/>
    <n v="11"/>
    <s v="Q1 2023"/>
    <x v="1"/>
    <x v="1"/>
    <n v="8347"/>
    <n v="1700"/>
    <n v="17"/>
    <n v="0.6071428571428571"/>
  </r>
  <r>
    <s v="C128"/>
    <n v="26"/>
    <x v="21"/>
    <n v="13"/>
    <s v="Q2 2023"/>
    <x v="1"/>
    <x v="1"/>
    <n v="8737"/>
    <n v="1700"/>
    <n v="25"/>
    <n v="0.65789473684210531"/>
  </r>
  <r>
    <s v="C111"/>
    <n v="49"/>
    <x v="14"/>
    <n v="16"/>
    <s v="Q2 2023"/>
    <x v="1"/>
    <x v="5"/>
    <n v="8667"/>
    <n v="1700"/>
    <n v="18"/>
    <n v="0.52941176470588236"/>
  </r>
  <r>
    <s v="C242"/>
    <n v="42"/>
    <x v="7"/>
    <n v="11"/>
    <s v="Q2 2023"/>
    <x v="1"/>
    <x v="0"/>
    <n v="8772"/>
    <n v="1700"/>
    <n v="15"/>
    <n v="0.57692307692307687"/>
  </r>
  <r>
    <s v="C282"/>
    <n v="45"/>
    <x v="1"/>
    <n v="9"/>
    <s v="Q1 2023"/>
    <x v="0"/>
    <x v="4"/>
    <n v="17599"/>
    <n v="2500"/>
    <n v="46"/>
    <n v="0.83636363636363631"/>
  </r>
  <r>
    <s v="C166"/>
    <n v="25"/>
    <x v="37"/>
    <n v="14"/>
    <s v="Q2 2023"/>
    <x v="1"/>
    <x v="1"/>
    <n v="9832"/>
    <n v="1700"/>
    <n v="13"/>
    <n v="0.48148148148148145"/>
  </r>
  <r>
    <s v="C487"/>
    <n v="45"/>
    <x v="13"/>
    <n v="12"/>
    <s v="Q1 2023"/>
    <x v="1"/>
    <x v="4"/>
    <n v="9637"/>
    <n v="1700"/>
    <n v="30"/>
    <n v="0.7142857142857143"/>
  </r>
  <r>
    <s v="C771"/>
    <n v="37"/>
    <x v="18"/>
    <n v="4"/>
    <s v="Q2 2023"/>
    <x v="1"/>
    <x v="0"/>
    <n v="7097"/>
    <n v="1700"/>
    <n v="27"/>
    <n v="0.87096774193548387"/>
  </r>
  <r>
    <s v="C731"/>
    <n v="34"/>
    <x v="13"/>
    <n v="3"/>
    <s v="Q1 2023"/>
    <x v="0"/>
    <x v="2"/>
    <n v="8293"/>
    <n v="1700"/>
    <n v="39"/>
    <n v="0.9285714285714286"/>
  </r>
  <r>
    <s v="C786"/>
    <n v="46"/>
    <x v="28"/>
    <n v="9"/>
    <s v="Q1 2023"/>
    <x v="1"/>
    <x v="4"/>
    <n v="8744"/>
    <n v="1700"/>
    <n v="32"/>
    <n v="0.78048780487804881"/>
  </r>
  <r>
    <s v="C235"/>
    <n v="48"/>
    <x v="37"/>
    <n v="8"/>
    <s v="Q1 2023"/>
    <x v="1"/>
    <x v="3"/>
    <n v="7937"/>
    <n v="1700"/>
    <n v="19"/>
    <n v="0.70370370370370372"/>
  </r>
  <r>
    <s v="C199"/>
    <n v="40"/>
    <x v="16"/>
    <n v="12"/>
    <s v="Q1 2023"/>
    <x v="1"/>
    <x v="0"/>
    <n v="6488"/>
    <n v="1700"/>
    <n v="24"/>
    <n v="0.66666666666666663"/>
  </r>
  <r>
    <s v="C545"/>
    <n v="36"/>
    <x v="28"/>
    <n v="5"/>
    <s v="Q1 2023"/>
    <x v="0"/>
    <x v="2"/>
    <n v="8335"/>
    <n v="1700"/>
    <n v="36"/>
    <n v="0.87804878048780488"/>
  </r>
  <r>
    <s v="C547"/>
    <n v="39"/>
    <x v="29"/>
    <n v="8"/>
    <s v="Q2 2023"/>
    <x v="0"/>
    <x v="0"/>
    <n v="10346"/>
    <n v="2500"/>
    <n v="46"/>
    <n v="0.85185185185185186"/>
  </r>
  <r>
    <s v="C193"/>
    <n v="44"/>
    <x v="37"/>
    <n v="12"/>
    <s v="Q2 2023"/>
    <x v="1"/>
    <x v="4"/>
    <n v="8736"/>
    <n v="1700"/>
    <n v="15"/>
    <n v="0.55555555555555558"/>
  </r>
  <r>
    <s v="C717"/>
    <n v="47"/>
    <x v="0"/>
    <n v="12"/>
    <s v="Q1 2023"/>
    <x v="1"/>
    <x v="3"/>
    <n v="29988"/>
    <n v="2500"/>
    <n v="44"/>
    <n v="0.7857142857142857"/>
  </r>
  <r>
    <s v="C399"/>
    <n v="50"/>
    <x v="9"/>
    <n v="8"/>
    <s v="Q2 2023"/>
    <x v="1"/>
    <x v="6"/>
    <n v="9167"/>
    <n v="1900"/>
    <n v="37"/>
    <n v="0.82222222222222219"/>
  </r>
  <r>
    <s v="C358"/>
    <n v="22"/>
    <x v="30"/>
    <n v="9"/>
    <s v="Q2 2023"/>
    <x v="0"/>
    <x v="1"/>
    <n v="6973"/>
    <n v="1900"/>
    <n v="39"/>
    <n v="0.8125"/>
  </r>
  <r>
    <s v="C671"/>
    <n v="44"/>
    <x v="3"/>
    <n v="9"/>
    <s v="Q1 2023"/>
    <x v="1"/>
    <x v="4"/>
    <n v="7266"/>
    <n v="1900"/>
    <n v="41"/>
    <n v="0.82"/>
  </r>
  <r>
    <s v="C152"/>
    <n v="29"/>
    <x v="28"/>
    <n v="9"/>
    <s v="Q2 2023"/>
    <x v="0"/>
    <x v="2"/>
    <n v="6096"/>
    <n v="1700"/>
    <n v="32"/>
    <n v="0.78048780487804881"/>
  </r>
  <r>
    <s v="C433"/>
    <n v="39"/>
    <x v="19"/>
    <n v="10"/>
    <s v="Q2 2023"/>
    <x v="1"/>
    <x v="0"/>
    <n v="6353"/>
    <n v="1900"/>
    <n v="37"/>
    <n v="0.78723404255319152"/>
  </r>
  <r>
    <s v="C388"/>
    <n v="31"/>
    <x v="4"/>
    <n v="15"/>
    <s v="Q2 2023"/>
    <x v="1"/>
    <x v="2"/>
    <n v="9812"/>
    <n v="1700"/>
    <n v="24"/>
    <n v="0.61538461538461542"/>
  </r>
  <r>
    <s v="C561"/>
    <n v="29"/>
    <x v="8"/>
    <n v="11"/>
    <s v="Q2 2023"/>
    <x v="1"/>
    <x v="2"/>
    <n v="9729"/>
    <n v="1700"/>
    <n v="18"/>
    <n v="0.62068965517241381"/>
  </r>
  <r>
    <s v="C554"/>
    <n v="30"/>
    <x v="25"/>
    <n v="16"/>
    <s v="Q1 2023"/>
    <x v="1"/>
    <x v="2"/>
    <n v="6535"/>
    <n v="1700"/>
    <n v="24"/>
    <n v="0.6"/>
  </r>
  <r>
    <s v="C531"/>
    <n v="41"/>
    <x v="32"/>
    <n v="13"/>
    <s v="Q2 2023"/>
    <x v="1"/>
    <x v="0"/>
    <n v="7594"/>
    <n v="1700"/>
    <n v="15"/>
    <n v="0.5357142857142857"/>
  </r>
  <r>
    <s v="C261"/>
    <n v="27"/>
    <x v="35"/>
    <n v="6"/>
    <s v="Q1 2023"/>
    <x v="0"/>
    <x v="1"/>
    <n v="33503"/>
    <n v="2500"/>
    <n v="51"/>
    <n v="0.89473684210526316"/>
  </r>
  <r>
    <s v="C300"/>
    <n v="29"/>
    <x v="19"/>
    <n v="7"/>
    <s v="Q2 2023"/>
    <x v="0"/>
    <x v="2"/>
    <n v="8144"/>
    <n v="1900"/>
    <n v="40"/>
    <n v="0.85106382978723405"/>
  </r>
  <r>
    <s v="C452"/>
    <n v="36"/>
    <x v="36"/>
    <n v="10"/>
    <s v="Q1 2023"/>
    <x v="0"/>
    <x v="2"/>
    <n v="18196"/>
    <n v="2700"/>
    <n v="48"/>
    <n v="0.82758620689655171"/>
  </r>
  <r>
    <s v="C539"/>
    <n v="21"/>
    <x v="13"/>
    <n v="11"/>
    <s v="Q1 2023"/>
    <x v="0"/>
    <x v="1"/>
    <n v="6454"/>
    <n v="1700"/>
    <n v="31"/>
    <n v="0.73809523809523814"/>
  </r>
  <r>
    <s v="C143"/>
    <n v="35"/>
    <x v="33"/>
    <n v="4"/>
    <s v="Q1 2023"/>
    <x v="1"/>
    <x v="2"/>
    <n v="7636"/>
    <n v="1700"/>
    <n v="33"/>
    <n v="0.89189189189189189"/>
  </r>
  <r>
    <s v="C528"/>
    <n v="34"/>
    <x v="17"/>
    <n v="11"/>
    <s v="Q2 2023"/>
    <x v="1"/>
    <x v="2"/>
    <n v="6022"/>
    <n v="1700"/>
    <n v="32"/>
    <n v="0.7441860465116279"/>
  </r>
  <r>
    <s v="C578"/>
    <n v="35"/>
    <x v="31"/>
    <n v="12"/>
    <s v="Q1 2023"/>
    <x v="0"/>
    <x v="2"/>
    <n v="9647"/>
    <n v="1900"/>
    <n v="40"/>
    <n v="0.76923076923076927"/>
  </r>
  <r>
    <s v="C363"/>
    <n v="24"/>
    <x v="16"/>
    <n v="6"/>
    <s v="Q2 2023"/>
    <x v="0"/>
    <x v="1"/>
    <n v="6469"/>
    <n v="1700"/>
    <n v="30"/>
    <n v="0.83333333333333337"/>
  </r>
  <r>
    <s v="C552"/>
    <n v="43"/>
    <x v="9"/>
    <n v="16"/>
    <s v="Q2 2023"/>
    <x v="1"/>
    <x v="0"/>
    <n v="6466"/>
    <n v="1900"/>
    <n v="29"/>
    <n v="0.64444444444444449"/>
  </r>
  <r>
    <s v="C255"/>
    <n v="36"/>
    <x v="4"/>
    <n v="6"/>
    <s v="Q2 2023"/>
    <x v="1"/>
    <x v="2"/>
    <n v="9729"/>
    <n v="1700"/>
    <n v="33"/>
    <n v="0.84615384615384615"/>
  </r>
  <r>
    <s v="C762"/>
    <n v="22"/>
    <x v="6"/>
    <n v="11"/>
    <s v="Q2 2023"/>
    <x v="0"/>
    <x v="1"/>
    <n v="7213"/>
    <n v="1700"/>
    <n v="33"/>
    <n v="0.75"/>
  </r>
  <r>
    <s v="C445"/>
    <n v="48"/>
    <x v="24"/>
    <n v="11"/>
    <s v="Q1 2023"/>
    <x v="1"/>
    <x v="3"/>
    <n v="9047"/>
    <n v="1700"/>
    <n v="14"/>
    <n v="0.56000000000000005"/>
  </r>
  <r>
    <s v="C396"/>
    <n v="24"/>
    <x v="18"/>
    <n v="10"/>
    <s v="Q1 2023"/>
    <x v="1"/>
    <x v="1"/>
    <n v="6851"/>
    <n v="1700"/>
    <n v="21"/>
    <n v="0.67741935483870963"/>
  </r>
  <r>
    <s v="C538"/>
    <n v="43"/>
    <x v="35"/>
    <n v="10"/>
    <s v="Q1 2023"/>
    <x v="0"/>
    <x v="4"/>
    <n v="27873"/>
    <n v="2500"/>
    <n v="47"/>
    <n v="0.82456140350877194"/>
  </r>
  <r>
    <s v="C290"/>
    <n v="30"/>
    <x v="28"/>
    <n v="6"/>
    <s v="Q2 2023"/>
    <x v="0"/>
    <x v="2"/>
    <n v="9465"/>
    <n v="1700"/>
    <n v="35"/>
    <n v="0.85365853658536583"/>
  </r>
  <r>
    <s v="C361"/>
    <n v="48"/>
    <x v="33"/>
    <n v="4"/>
    <s v="Q2 2023"/>
    <x v="1"/>
    <x v="3"/>
    <n v="6792"/>
    <n v="1700"/>
    <n v="33"/>
    <n v="0.89189189189189189"/>
  </r>
  <r>
    <s v="C108"/>
    <n v="42"/>
    <x v="6"/>
    <n v="12"/>
    <s v="Q1 2023"/>
    <x v="1"/>
    <x v="0"/>
    <n v="9341"/>
    <n v="1700"/>
    <n v="32"/>
    <n v="0.72727272727272729"/>
  </r>
  <r>
    <s v="C712"/>
    <n v="47"/>
    <x v="8"/>
    <n v="9"/>
    <s v="Q2 2023"/>
    <x v="1"/>
    <x v="3"/>
    <n v="9235"/>
    <n v="1700"/>
    <n v="20"/>
    <n v="0.68965517241379315"/>
  </r>
  <r>
    <s v="C215"/>
    <n v="49"/>
    <x v="37"/>
    <n v="7"/>
    <s v="Q2 2023"/>
    <x v="1"/>
    <x v="5"/>
    <n v="9630"/>
    <n v="1700"/>
    <n v="20"/>
    <n v="0.7407407407407407"/>
  </r>
  <r>
    <s v="C573"/>
    <n v="41"/>
    <x v="25"/>
    <n v="2"/>
    <s v="Q1 2023"/>
    <x v="1"/>
    <x v="0"/>
    <n v="9839"/>
    <n v="1700"/>
    <n v="38"/>
    <n v="0.95"/>
  </r>
  <r>
    <s v="C403"/>
    <n v="30"/>
    <x v="7"/>
    <n v="15"/>
    <s v="Q1 2023"/>
    <x v="1"/>
    <x v="2"/>
    <n v="9697"/>
    <n v="1700"/>
    <n v="11"/>
    <n v="0.42307692307692307"/>
  </r>
  <r>
    <s v="C415"/>
    <n v="32"/>
    <x v="16"/>
    <n v="7"/>
    <s v="Q1 2023"/>
    <x v="1"/>
    <x v="2"/>
    <n v="9018"/>
    <n v="1700"/>
    <n v="29"/>
    <n v="0.80555555555555558"/>
  </r>
  <r>
    <s v="C158"/>
    <n v="44"/>
    <x v="13"/>
    <n v="11"/>
    <s v="Q1 2023"/>
    <x v="1"/>
    <x v="4"/>
    <n v="6246"/>
    <n v="1700"/>
    <n v="31"/>
    <n v="0.73809523809523814"/>
  </r>
  <r>
    <s v="C420"/>
    <n v="26"/>
    <x v="0"/>
    <n v="12"/>
    <s v="Q2 2023"/>
    <x v="0"/>
    <x v="1"/>
    <n v="20702"/>
    <n v="2500"/>
    <n v="44"/>
    <n v="0.7857142857142857"/>
  </r>
  <r>
    <s v="C424"/>
    <n v="44"/>
    <x v="29"/>
    <n v="9"/>
    <s v="Q1 2023"/>
    <x v="0"/>
    <x v="4"/>
    <n v="29932"/>
    <n v="2500"/>
    <n v="45"/>
    <n v="0.83333333333333337"/>
  </r>
  <r>
    <s v="C354"/>
    <n v="37"/>
    <x v="1"/>
    <n v="4"/>
    <s v="Q1 2023"/>
    <x v="0"/>
    <x v="0"/>
    <n v="51210"/>
    <n v="2500"/>
    <n v="51"/>
    <n v="0.92727272727272725"/>
  </r>
  <r>
    <s v="C469"/>
    <n v="36"/>
    <x v="37"/>
    <n v="14"/>
    <s v="Q2 2023"/>
    <x v="1"/>
    <x v="2"/>
    <n v="6176"/>
    <n v="1700"/>
    <n v="13"/>
    <n v="0.48148148148148145"/>
  </r>
  <r>
    <s v="C144"/>
    <n v="45"/>
    <x v="21"/>
    <n v="12"/>
    <s v="Q1 2023"/>
    <x v="1"/>
    <x v="4"/>
    <n v="7501"/>
    <n v="1700"/>
    <n v="26"/>
    <n v="0.68421052631578949"/>
  </r>
  <r>
    <s v="C482"/>
    <n v="40"/>
    <x v="36"/>
    <n v="15"/>
    <s v="Q2 2023"/>
    <x v="0"/>
    <x v="0"/>
    <n v="53556"/>
    <n v="2700"/>
    <n v="43"/>
    <n v="0.74137931034482762"/>
  </r>
  <r>
    <s v="C378"/>
    <n v="48"/>
    <x v="29"/>
    <n v="10"/>
    <s v="Q2 2023"/>
    <x v="1"/>
    <x v="3"/>
    <n v="18383"/>
    <n v="2500"/>
    <n v="44"/>
    <n v="0.81481481481481477"/>
  </r>
  <r>
    <s v="C480"/>
    <n v="25"/>
    <x v="37"/>
    <n v="12"/>
    <s v="Q2 2023"/>
    <x v="1"/>
    <x v="1"/>
    <n v="8738"/>
    <n v="1700"/>
    <n v="15"/>
    <n v="0.55555555555555558"/>
  </r>
  <r>
    <s v="C630"/>
    <n v="39"/>
    <x v="4"/>
    <n v="12"/>
    <s v="Q1 2023"/>
    <x v="1"/>
    <x v="0"/>
    <n v="9423"/>
    <n v="1700"/>
    <n v="27"/>
    <n v="0.69230769230769229"/>
  </r>
  <r>
    <s v="C171"/>
    <n v="44"/>
    <x v="3"/>
    <n v="6"/>
    <s v="Q1 2023"/>
    <x v="0"/>
    <x v="4"/>
    <n v="7219"/>
    <n v="1900"/>
    <n v="44"/>
    <n v="0.88"/>
  </r>
  <r>
    <s v="C263"/>
    <n v="24"/>
    <x v="23"/>
    <n v="13"/>
    <s v="Q2 2023"/>
    <x v="1"/>
    <x v="1"/>
    <n v="6071"/>
    <n v="1700"/>
    <n v="20"/>
    <n v="0.60606060606060608"/>
  </r>
  <r>
    <s v="C653"/>
    <n v="45"/>
    <x v="33"/>
    <n v="9"/>
    <s v="Q2 2023"/>
    <x v="1"/>
    <x v="4"/>
    <n v="7989"/>
    <n v="1700"/>
    <n v="28"/>
    <n v="0.7567567567567568"/>
  </r>
  <r>
    <s v="C586"/>
    <n v="25"/>
    <x v="10"/>
    <n v="15"/>
    <s v="Q2 2023"/>
    <x v="0"/>
    <x v="1"/>
    <n v="6203"/>
    <n v="1900"/>
    <n v="34"/>
    <n v="0.69387755102040816"/>
  </r>
  <r>
    <s v="C582"/>
    <n v="44"/>
    <x v="32"/>
    <n v="8"/>
    <s v="Q2 2023"/>
    <x v="1"/>
    <x v="4"/>
    <n v="6667"/>
    <n v="1700"/>
    <n v="20"/>
    <n v="0.7142857142857143"/>
  </r>
  <r>
    <s v="C154"/>
    <n v="21"/>
    <x v="35"/>
    <n v="4"/>
    <s v="Q1 2023"/>
    <x v="0"/>
    <x v="1"/>
    <n v="15308"/>
    <n v="2700"/>
    <n v="53"/>
    <n v="0.92982456140350878"/>
  </r>
  <r>
    <s v="C221"/>
    <n v="42"/>
    <x v="38"/>
    <n v="12"/>
    <s v="Q2 2023"/>
    <x v="0"/>
    <x v="0"/>
    <n v="51174"/>
    <n v="2700"/>
    <n v="48"/>
    <n v="0.8"/>
  </r>
  <r>
    <s v="C252"/>
    <n v="30"/>
    <x v="24"/>
    <n v="11"/>
    <s v="Q2 2023"/>
    <x v="1"/>
    <x v="2"/>
    <n v="9876"/>
    <n v="1700"/>
    <n v="14"/>
    <n v="0.56000000000000005"/>
  </r>
  <r>
    <s v="C754"/>
    <n v="46"/>
    <x v="1"/>
    <n v="8"/>
    <s v="Q2 2023"/>
    <x v="0"/>
    <x v="4"/>
    <n v="36959"/>
    <n v="2500"/>
    <n v="47"/>
    <n v="0.8545454545454545"/>
  </r>
  <r>
    <s v="C675"/>
    <n v="32"/>
    <x v="29"/>
    <n v="12"/>
    <s v="Q1 2023"/>
    <x v="0"/>
    <x v="2"/>
    <n v="16886"/>
    <n v="2500"/>
    <n v="42"/>
    <n v="0.77777777777777779"/>
  </r>
  <r>
    <s v="C342"/>
    <n v="22"/>
    <x v="14"/>
    <n v="12"/>
    <s v="Q1 2023"/>
    <x v="0"/>
    <x v="1"/>
    <n v="7234"/>
    <n v="1700"/>
    <n v="22"/>
    <n v="0.6470588235294118"/>
  </r>
  <r>
    <s v="C658"/>
    <n v="50"/>
    <x v="31"/>
    <n v="13"/>
    <s v="Q2 2023"/>
    <x v="1"/>
    <x v="7"/>
    <n v="6570"/>
    <n v="1900"/>
    <n v="39"/>
    <n v="0.75"/>
  </r>
  <r>
    <s v="C153"/>
    <n v="40"/>
    <x v="30"/>
    <n v="12"/>
    <s v="Q1 2023"/>
    <x v="1"/>
    <x v="0"/>
    <n v="7724"/>
    <n v="1900"/>
    <n v="36"/>
    <n v="0.75"/>
  </r>
  <r>
    <s v="C273"/>
    <n v="36"/>
    <x v="22"/>
    <n v="6"/>
    <s v="Q2 2023"/>
    <x v="1"/>
    <x v="2"/>
    <n v="8033"/>
    <n v="1700"/>
    <n v="26"/>
    <n v="0.8125"/>
  </r>
  <r>
    <s v="C397"/>
    <n v="41"/>
    <x v="9"/>
    <n v="7"/>
    <s v="Q1 2023"/>
    <x v="1"/>
    <x v="0"/>
    <n v="9848"/>
    <n v="1900"/>
    <n v="38"/>
    <n v="0.84444444444444444"/>
  </r>
  <r>
    <s v="C543"/>
    <n v="26"/>
    <x v="22"/>
    <n v="14"/>
    <s v="Q1 2023"/>
    <x v="1"/>
    <x v="1"/>
    <n v="7576"/>
    <n v="1700"/>
    <n v="18"/>
    <n v="0.5625"/>
  </r>
  <r>
    <s v="C567"/>
    <n v="39"/>
    <x v="38"/>
    <n v="13"/>
    <s v="Q2 2023"/>
    <x v="0"/>
    <x v="0"/>
    <n v="33400"/>
    <n v="2700"/>
    <n v="47"/>
    <n v="0.78333333333333333"/>
  </r>
  <r>
    <s v="C122"/>
    <n v="33"/>
    <x v="36"/>
    <n v="14"/>
    <s v="Q1 2023"/>
    <x v="0"/>
    <x v="2"/>
    <n v="10393"/>
    <n v="2700"/>
    <n v="44"/>
    <n v="0.75862068965517238"/>
  </r>
  <r>
    <s v="C555"/>
    <n v="32"/>
    <x v="16"/>
    <n v="13"/>
    <s v="Q1 2023"/>
    <x v="1"/>
    <x v="2"/>
    <n v="6920"/>
    <n v="1700"/>
    <n v="23"/>
    <n v="0.63888888888888884"/>
  </r>
  <r>
    <s v="C497"/>
    <n v="40"/>
    <x v="2"/>
    <n v="15"/>
    <s v="Q2 2023"/>
    <x v="1"/>
    <x v="0"/>
    <n v="9892"/>
    <n v="1900"/>
    <n v="36"/>
    <n v="0.70588235294117652"/>
  </r>
  <r>
    <s v="C400"/>
    <n v="36"/>
    <x v="32"/>
    <n v="9"/>
    <s v="Q1 2023"/>
    <x v="1"/>
    <x v="2"/>
    <n v="8841"/>
    <n v="1700"/>
    <n v="19"/>
    <n v="0.6785714285714286"/>
  </r>
  <r>
    <s v="C114"/>
    <n v="22"/>
    <x v="14"/>
    <n v="11"/>
    <s v="Q1 2023"/>
    <x v="0"/>
    <x v="1"/>
    <n v="9018"/>
    <n v="1700"/>
    <n v="23"/>
    <n v="0.67647058823529416"/>
  </r>
  <r>
    <s v="C548"/>
    <n v="36"/>
    <x v="28"/>
    <n v="8"/>
    <s v="Q2 2023"/>
    <x v="1"/>
    <x v="2"/>
    <n v="8076"/>
    <n v="1700"/>
    <n v="33"/>
    <n v="0.80487804878048785"/>
  </r>
  <r>
    <s v="C295"/>
    <n v="29"/>
    <x v="8"/>
    <n v="11"/>
    <s v="Q1 2023"/>
    <x v="1"/>
    <x v="2"/>
    <n v="7133"/>
    <n v="1700"/>
    <n v="18"/>
    <n v="0.62068965517241381"/>
  </r>
  <r>
    <s v="C782"/>
    <n v="37"/>
    <x v="3"/>
    <n v="12"/>
    <s v="Q1 2023"/>
    <x v="0"/>
    <x v="0"/>
    <n v="6191"/>
    <n v="1900"/>
    <n v="38"/>
    <n v="0.76"/>
  </r>
  <r>
    <s v="C202"/>
    <n v="38"/>
    <x v="9"/>
    <n v="14"/>
    <s v="Q1 2023"/>
    <x v="1"/>
    <x v="0"/>
    <n v="6946"/>
    <n v="1900"/>
    <n v="31"/>
    <n v="0.68888888888888888"/>
  </r>
  <r>
    <s v="C318"/>
    <n v="37"/>
    <x v="37"/>
    <n v="9"/>
    <s v="Q1 2023"/>
    <x v="1"/>
    <x v="0"/>
    <n v="9361"/>
    <n v="1700"/>
    <n v="18"/>
    <n v="0.66666666666666663"/>
  </r>
  <r>
    <s v="C197"/>
    <n v="29"/>
    <x v="14"/>
    <n v="8"/>
    <s v="Q1 2023"/>
    <x v="1"/>
    <x v="2"/>
    <n v="6265"/>
    <n v="1700"/>
    <n v="26"/>
    <n v="0.76470588235294112"/>
  </r>
  <r>
    <s v="C711"/>
    <n v="40"/>
    <x v="4"/>
    <n v="9"/>
    <s v="Q2 2023"/>
    <x v="1"/>
    <x v="0"/>
    <n v="8861"/>
    <n v="1700"/>
    <n v="30"/>
    <n v="0.76923076923076927"/>
  </r>
  <r>
    <s v="C753"/>
    <n v="35"/>
    <x v="22"/>
    <n v="11"/>
    <s v="Q1 2023"/>
    <x v="1"/>
    <x v="2"/>
    <n v="8036"/>
    <n v="1700"/>
    <n v="21"/>
    <n v="0.65625"/>
  </r>
  <r>
    <s v="C347"/>
    <n v="46"/>
    <x v="12"/>
    <n v="10"/>
    <s v="Q1 2023"/>
    <x v="1"/>
    <x v="4"/>
    <n v="6293"/>
    <n v="1700"/>
    <n v="20"/>
    <n v="0.66666666666666663"/>
  </r>
  <r>
    <s v="C185"/>
    <n v="28"/>
    <x v="17"/>
    <n v="9"/>
    <s v="Q1 2023"/>
    <x v="0"/>
    <x v="1"/>
    <n v="9161"/>
    <n v="1700"/>
    <n v="34"/>
    <n v="0.79069767441860461"/>
  </r>
  <r>
    <s v="C516"/>
    <n v="32"/>
    <x v="6"/>
    <n v="6"/>
    <s v="Q1 2023"/>
    <x v="0"/>
    <x v="2"/>
    <n v="6227"/>
    <n v="1700"/>
    <n v="38"/>
    <n v="0.86363636363636365"/>
  </r>
  <r>
    <s v="C791"/>
    <n v="39"/>
    <x v="28"/>
    <n v="12"/>
    <s v="Q1 2023"/>
    <x v="1"/>
    <x v="0"/>
    <n v="7180"/>
    <n v="1700"/>
    <n v="29"/>
    <n v="0.70731707317073167"/>
  </r>
  <r>
    <s v="C748"/>
    <n v="32"/>
    <x v="35"/>
    <n v="12"/>
    <s v="Q2 2023"/>
    <x v="0"/>
    <x v="2"/>
    <n v="19887"/>
    <n v="2500"/>
    <n v="45"/>
    <n v="0.78947368421052633"/>
  </r>
  <r>
    <s v="C607"/>
    <n v="25"/>
    <x v="0"/>
    <n v="11"/>
    <s v="Q1 2023"/>
    <x v="0"/>
    <x v="1"/>
    <n v="11268"/>
    <n v="2500"/>
    <n v="45"/>
    <n v="0.8035714285714286"/>
  </r>
  <r>
    <s v="C579"/>
    <n v="28"/>
    <x v="6"/>
    <n v="6"/>
    <s v="Q1 2023"/>
    <x v="0"/>
    <x v="1"/>
    <n v="7544"/>
    <n v="1700"/>
    <n v="38"/>
    <n v="0.86363636363636365"/>
  </r>
  <r>
    <s v="C434"/>
    <n v="20"/>
    <x v="1"/>
    <n v="5"/>
    <s v="Q1 2023"/>
    <x v="0"/>
    <x v="1"/>
    <n v="42538"/>
    <n v="2500"/>
    <n v="50"/>
    <n v="0.90909090909090906"/>
  </r>
  <r>
    <s v="C522"/>
    <n v="33"/>
    <x v="26"/>
    <n v="8"/>
    <s v="Q2 2023"/>
    <x v="1"/>
    <x v="2"/>
    <n v="6068"/>
    <n v="1700"/>
    <n v="27"/>
    <n v="0.77142857142857146"/>
  </r>
  <r>
    <s v="C447"/>
    <n v="30"/>
    <x v="24"/>
    <n v="11"/>
    <s v="Q2 2023"/>
    <x v="1"/>
    <x v="2"/>
    <n v="8407"/>
    <n v="1700"/>
    <n v="14"/>
    <n v="0.56000000000000005"/>
  </r>
  <r>
    <s v="C248"/>
    <n v="35"/>
    <x v="23"/>
    <n v="6"/>
    <s v="Q1 2023"/>
    <x v="1"/>
    <x v="2"/>
    <n v="8894"/>
    <n v="1700"/>
    <n v="27"/>
    <n v="0.81818181818181823"/>
  </r>
  <r>
    <s v="C286"/>
    <n v="32"/>
    <x v="18"/>
    <n v="14"/>
    <s v="Q1 2023"/>
    <x v="1"/>
    <x v="2"/>
    <n v="9612"/>
    <n v="1700"/>
    <n v="17"/>
    <n v="0.54838709677419351"/>
  </r>
  <r>
    <s v="C693"/>
    <n v="44"/>
    <x v="22"/>
    <n v="10"/>
    <s v="Q2 2023"/>
    <x v="1"/>
    <x v="4"/>
    <n v="6819"/>
    <n v="1700"/>
    <n v="22"/>
    <n v="0.6875"/>
  </r>
  <r>
    <s v="C385"/>
    <n v="36"/>
    <x v="10"/>
    <n v="13"/>
    <s v="Q2 2023"/>
    <x v="0"/>
    <x v="2"/>
    <n v="9223"/>
    <n v="1900"/>
    <n v="36"/>
    <n v="0.73469387755102045"/>
  </r>
  <r>
    <s v="C744"/>
    <n v="49"/>
    <x v="21"/>
    <n v="5"/>
    <s v="Q1 2023"/>
    <x v="1"/>
    <x v="5"/>
    <n v="9714"/>
    <n v="1700"/>
    <n v="33"/>
    <n v="0.86842105263157898"/>
  </r>
  <r>
    <s v="C733"/>
    <n v="44"/>
    <x v="13"/>
    <n v="4"/>
    <s v="Q1 2023"/>
    <x v="1"/>
    <x v="4"/>
    <n v="8772"/>
    <n v="1700"/>
    <n v="38"/>
    <n v="0.90476190476190477"/>
  </r>
  <r>
    <s v="C608"/>
    <n v="42"/>
    <x v="4"/>
    <n v="10"/>
    <s v="Q1 2023"/>
    <x v="1"/>
    <x v="0"/>
    <n v="6408"/>
    <n v="1700"/>
    <n v="29"/>
    <n v="0.74358974358974361"/>
  </r>
  <r>
    <s v="C307"/>
    <n v="38"/>
    <x v="13"/>
    <n v="10"/>
    <s v="Q2 2023"/>
    <x v="1"/>
    <x v="0"/>
    <n v="9204"/>
    <n v="1700"/>
    <n v="32"/>
    <n v="0.76190476190476186"/>
  </r>
  <r>
    <s v="C352"/>
    <n v="38"/>
    <x v="8"/>
    <n v="9"/>
    <s v="Q2 2023"/>
    <x v="1"/>
    <x v="0"/>
    <n v="9410"/>
    <n v="1700"/>
    <n v="20"/>
    <n v="0.68965517241379315"/>
  </r>
  <r>
    <s v="C588"/>
    <n v="26"/>
    <x v="25"/>
    <n v="12"/>
    <s v="Q1 2023"/>
    <x v="0"/>
    <x v="1"/>
    <n v="8180"/>
    <n v="1700"/>
    <n v="28"/>
    <n v="0.7"/>
  </r>
  <r>
    <s v="C701"/>
    <n v="27"/>
    <x v="15"/>
    <n v="9"/>
    <s v="Q1 2023"/>
    <x v="0"/>
    <x v="1"/>
    <n v="9826"/>
    <n v="1900"/>
    <n v="44"/>
    <n v="0.83018867924528306"/>
  </r>
  <r>
    <s v="C432"/>
    <n v="24"/>
    <x v="30"/>
    <n v="14"/>
    <s v="Q2 2023"/>
    <x v="0"/>
    <x v="1"/>
    <n v="6768"/>
    <n v="1900"/>
    <n v="34"/>
    <n v="0.70833333333333337"/>
  </r>
  <r>
    <s v="C558"/>
    <n v="34"/>
    <x v="19"/>
    <n v="11"/>
    <s v="Q1 2023"/>
    <x v="0"/>
    <x v="2"/>
    <n v="8063"/>
    <n v="1900"/>
    <n v="36"/>
    <n v="0.76595744680851063"/>
  </r>
  <r>
    <s v="C526"/>
    <n v="47"/>
    <x v="21"/>
    <n v="16"/>
    <s v="Q2 2023"/>
    <x v="1"/>
    <x v="3"/>
    <n v="7054"/>
    <n v="1700"/>
    <n v="22"/>
    <n v="0.57894736842105265"/>
  </r>
  <r>
    <s v="C486"/>
    <n v="37"/>
    <x v="29"/>
    <n v="11"/>
    <s v="Q2 2023"/>
    <x v="0"/>
    <x v="2"/>
    <n v="54810"/>
    <n v="2500"/>
    <n v="43"/>
    <n v="0.79629629629629628"/>
  </r>
  <r>
    <s v="C546"/>
    <n v="30"/>
    <x v="17"/>
    <n v="13"/>
    <s v="Q2 2023"/>
    <x v="0"/>
    <x v="2"/>
    <n v="7825"/>
    <n v="1700"/>
    <n v="30"/>
    <n v="0.69767441860465118"/>
  </r>
  <r>
    <s v="C569"/>
    <n v="36"/>
    <x v="10"/>
    <n v="10"/>
    <s v="Q1 2023"/>
    <x v="0"/>
    <x v="2"/>
    <n v="6909"/>
    <n v="1900"/>
    <n v="39"/>
    <n v="0.79591836734693877"/>
  </r>
  <r>
    <s v="C566"/>
    <n v="43"/>
    <x v="10"/>
    <n v="13"/>
    <s v="Q2 2023"/>
    <x v="1"/>
    <x v="0"/>
    <n v="8744"/>
    <n v="1900"/>
    <n v="36"/>
    <n v="0.73469387755102045"/>
  </r>
  <r>
    <s v="C514"/>
    <n v="32"/>
    <x v="8"/>
    <n v="10"/>
    <s v="Q1 2023"/>
    <x v="1"/>
    <x v="2"/>
    <n v="9398"/>
    <n v="1700"/>
    <n v="19"/>
    <n v="0.65517241379310343"/>
  </r>
  <r>
    <s v="C311"/>
    <n v="45"/>
    <x v="35"/>
    <n v="13"/>
    <s v="Q2 2023"/>
    <x v="1"/>
    <x v="4"/>
    <n v="30357"/>
    <n v="2500"/>
    <n v="44"/>
    <n v="0.77192982456140347"/>
  </r>
  <r>
    <s v="C188"/>
    <n v="40"/>
    <x v="17"/>
    <n v="8"/>
    <s v="Q1 2023"/>
    <x v="1"/>
    <x v="0"/>
    <n v="6186"/>
    <n v="1700"/>
    <n v="35"/>
    <n v="0.81395348837209303"/>
  </r>
  <r>
    <s v="C100"/>
    <n v="29"/>
    <x v="0"/>
    <n v="10"/>
    <s v="Q1 2023"/>
    <x v="0"/>
    <x v="2"/>
    <n v="42569"/>
    <n v="2500"/>
    <n v="46"/>
    <n v="0.8214285714285714"/>
  </r>
  <r>
    <s v="C787"/>
    <n v="49"/>
    <x v="15"/>
    <n v="15"/>
    <s v="Q1 2023"/>
    <x v="1"/>
    <x v="5"/>
    <n v="7167"/>
    <n v="1900"/>
    <n v="38"/>
    <n v="0.71698113207547165"/>
  </r>
  <r>
    <s v="C542"/>
    <n v="20"/>
    <x v="12"/>
    <n v="10"/>
    <s v="Q1 2023"/>
    <x v="0"/>
    <x v="1"/>
    <n v="7941"/>
    <n v="1700"/>
    <n v="20"/>
    <n v="0.66666666666666663"/>
  </r>
  <r>
    <s v="C697"/>
    <n v="36"/>
    <x v="22"/>
    <n v="12"/>
    <s v="Q2 2023"/>
    <x v="1"/>
    <x v="2"/>
    <n v="6443"/>
    <n v="1700"/>
    <n v="20"/>
    <n v="0.625"/>
  </r>
  <r>
    <s v="C798"/>
    <n v="25"/>
    <x v="19"/>
    <n v="5"/>
    <s v="Q1 2023"/>
    <x v="0"/>
    <x v="1"/>
    <n v="6631"/>
    <n v="1900"/>
    <n v="42"/>
    <n v="0.8936170212765957"/>
  </r>
  <r>
    <s v="C502"/>
    <n v="45"/>
    <x v="29"/>
    <n v="6"/>
    <s v="Q2 2023"/>
    <x v="0"/>
    <x v="4"/>
    <n v="48624"/>
    <n v="2500"/>
    <n v="48"/>
    <n v="0.88888888888888884"/>
  </r>
  <r>
    <s v="C781"/>
    <n v="24"/>
    <x v="8"/>
    <n v="5"/>
    <s v="Q2 2023"/>
    <x v="0"/>
    <x v="1"/>
    <n v="6797"/>
    <n v="1700"/>
    <n v="24"/>
    <n v="0.82758620689655171"/>
  </r>
  <r>
    <s v="C391"/>
    <n v="43"/>
    <x v="30"/>
    <n v="14"/>
    <s v="Q2 2023"/>
    <x v="1"/>
    <x v="4"/>
    <n v="8886"/>
    <n v="1900"/>
    <n v="34"/>
    <n v="0.70833333333333337"/>
  </r>
  <r>
    <s v="C441"/>
    <n v="39"/>
    <x v="16"/>
    <n v="10"/>
    <s v="Q1 2023"/>
    <x v="1"/>
    <x v="0"/>
    <n v="6601"/>
    <n v="1700"/>
    <n v="26"/>
    <n v="0.72222222222222221"/>
  </r>
  <r>
    <s v="C646"/>
    <n v="34"/>
    <x v="18"/>
    <n v="12"/>
    <s v="Q1 2023"/>
    <x v="1"/>
    <x v="2"/>
    <n v="6726"/>
    <n v="1700"/>
    <n v="19"/>
    <n v="0.61290322580645162"/>
  </r>
  <r>
    <s v="C654"/>
    <n v="31"/>
    <x v="18"/>
    <n v="5"/>
    <s v="Q2 2023"/>
    <x v="1"/>
    <x v="2"/>
    <n v="6314"/>
    <n v="1700"/>
    <n v="26"/>
    <n v="0.83870967741935487"/>
  </r>
  <r>
    <s v="C600"/>
    <n v="45"/>
    <x v="24"/>
    <n v="13"/>
    <s v="Q2 2023"/>
    <x v="1"/>
    <x v="4"/>
    <n v="9809"/>
    <n v="1700"/>
    <n v="12"/>
    <n v="0.48"/>
  </r>
  <r>
    <s v="C145"/>
    <n v="31"/>
    <x v="26"/>
    <n v="16"/>
    <s v="Q2 2023"/>
    <x v="1"/>
    <x v="2"/>
    <n v="9120"/>
    <n v="1700"/>
    <n v="19"/>
    <n v="0.54285714285714282"/>
  </r>
  <r>
    <s v="C457"/>
    <n v="43"/>
    <x v="19"/>
    <n v="7"/>
    <s v="Q1 2023"/>
    <x v="1"/>
    <x v="4"/>
    <n v="9091"/>
    <n v="1900"/>
    <n v="40"/>
    <n v="0.85106382978723405"/>
  </r>
  <r>
    <s v="C384"/>
    <n v="45"/>
    <x v="19"/>
    <n v="14"/>
    <s v="Q1 2023"/>
    <x v="1"/>
    <x v="4"/>
    <n v="6103"/>
    <n v="1900"/>
    <n v="33"/>
    <n v="0.7021276595744681"/>
  </r>
  <r>
    <s v="C679"/>
    <n v="27"/>
    <x v="26"/>
    <n v="14"/>
    <s v="Q2 2023"/>
    <x v="1"/>
    <x v="1"/>
    <n v="8312"/>
    <n v="1700"/>
    <n v="21"/>
    <n v="0.6"/>
  </r>
  <r>
    <s v="C724"/>
    <n v="46"/>
    <x v="2"/>
    <n v="8"/>
    <s v="Q1 2023"/>
    <x v="1"/>
    <x v="4"/>
    <n v="8771"/>
    <n v="1900"/>
    <n v="43"/>
    <n v="0.84313725490196079"/>
  </r>
  <r>
    <s v="C615"/>
    <n v="20"/>
    <x v="28"/>
    <n v="16"/>
    <s v="Q1 2023"/>
    <x v="0"/>
    <x v="1"/>
    <n v="6683"/>
    <n v="1700"/>
    <n v="25"/>
    <n v="0.6097560975609756"/>
  </r>
  <r>
    <s v="C379"/>
    <n v="49"/>
    <x v="20"/>
    <n v="16"/>
    <s v="Q1 2023"/>
    <x v="1"/>
    <x v="5"/>
    <n v="48911"/>
    <n v="2700"/>
    <n v="43"/>
    <n v="0.72881355932203384"/>
  </r>
  <r>
    <s v="C606"/>
    <n v="37"/>
    <x v="36"/>
    <n v="8"/>
    <s v="Q1 2023"/>
    <x v="0"/>
    <x v="0"/>
    <n v="30522"/>
    <n v="2700"/>
    <n v="50"/>
    <n v="0.86206896551724133"/>
  </r>
  <r>
    <s v="C474"/>
    <n v="27"/>
    <x v="16"/>
    <n v="14"/>
    <s v="Q1 2023"/>
    <x v="1"/>
    <x v="1"/>
    <n v="6473"/>
    <n v="1700"/>
    <n v="22"/>
    <n v="0.61111111111111116"/>
  </r>
  <r>
    <s v="C604"/>
    <n v="28"/>
    <x v="18"/>
    <n v="10"/>
    <s v="Q2 2023"/>
    <x v="1"/>
    <x v="1"/>
    <n v="7581"/>
    <n v="1700"/>
    <n v="21"/>
    <n v="0.67741935483870963"/>
  </r>
  <r>
    <s v="C556"/>
    <n v="37"/>
    <x v="18"/>
    <n v="12"/>
    <s v="Q1 2023"/>
    <x v="1"/>
    <x v="0"/>
    <n v="6320"/>
    <n v="1700"/>
    <n v="19"/>
    <n v="0.61290322580645162"/>
  </r>
  <r>
    <s v="C478"/>
    <n v="24"/>
    <x v="10"/>
    <n v="11"/>
    <s v="Q1 2023"/>
    <x v="0"/>
    <x v="1"/>
    <n v="8722"/>
    <n v="1900"/>
    <n v="38"/>
    <n v="0.77551020408163263"/>
  </r>
  <r>
    <s v="C743"/>
    <n v="43"/>
    <x v="4"/>
    <n v="11"/>
    <s v="Q1 2023"/>
    <x v="1"/>
    <x v="0"/>
    <n v="9704"/>
    <n v="1700"/>
    <n v="28"/>
    <n v="0.71794871794871795"/>
  </r>
  <r>
    <s v="C219"/>
    <n v="50"/>
    <x v="36"/>
    <n v="9"/>
    <s v="Q1 2023"/>
    <x v="1"/>
    <x v="7"/>
    <n v="41230"/>
    <n v="2700"/>
    <n v="49"/>
    <n v="0.84482758620689657"/>
  </r>
  <r>
    <s v="C565"/>
    <n v="37"/>
    <x v="10"/>
    <n v="9"/>
    <s v="Q2 2023"/>
    <x v="0"/>
    <x v="0"/>
    <n v="8332"/>
    <n v="1900"/>
    <n v="40"/>
    <n v="0.81632653061224492"/>
  </r>
  <r>
    <s v="C429"/>
    <n v="39"/>
    <x v="18"/>
    <n v="12"/>
    <s v="Q2 2023"/>
    <x v="1"/>
    <x v="0"/>
    <n v="8476"/>
    <n v="1700"/>
    <n v="19"/>
    <n v="0.61290322580645162"/>
  </r>
  <r>
    <s v="C519"/>
    <n v="34"/>
    <x v="15"/>
    <n v="9"/>
    <s v="Q2 2023"/>
    <x v="0"/>
    <x v="2"/>
    <n v="7748"/>
    <n v="1900"/>
    <n v="44"/>
    <n v="0.83018867924528306"/>
  </r>
  <r>
    <s v="C605"/>
    <n v="48"/>
    <x v="7"/>
    <n v="9"/>
    <s v="Q1 2023"/>
    <x v="1"/>
    <x v="3"/>
    <n v="6936"/>
    <n v="1700"/>
    <n v="17"/>
    <n v="0.65384615384615385"/>
  </r>
  <r>
    <s v="C620"/>
    <n v="20"/>
    <x v="28"/>
    <n v="5"/>
    <s v="Q2 2023"/>
    <x v="0"/>
    <x v="1"/>
    <n v="7081"/>
    <n v="1700"/>
    <n v="36"/>
    <n v="0.87804878048780488"/>
  </r>
  <r>
    <s v="C491"/>
    <n v="22"/>
    <x v="1"/>
    <n v="6"/>
    <s v="Q1 2023"/>
    <x v="0"/>
    <x v="1"/>
    <n v="28031"/>
    <n v="2500"/>
    <n v="49"/>
    <n v="0.89090909090909087"/>
  </r>
  <r>
    <s v="C715"/>
    <n v="47"/>
    <x v="9"/>
    <n v="12"/>
    <s v="Q2 2023"/>
    <x v="1"/>
    <x v="4"/>
    <n v="7253"/>
    <n v="1900"/>
    <n v="33"/>
    <n v="0.73333333333333328"/>
  </r>
  <r>
    <s v="C386"/>
    <n v="29"/>
    <x v="4"/>
    <n v="4"/>
    <s v="Q2 2023"/>
    <x v="0"/>
    <x v="1"/>
    <n v="7388"/>
    <n v="1700"/>
    <n v="35"/>
    <n v="0.89743589743589747"/>
  </r>
  <r>
    <s v="C641"/>
    <n v="29"/>
    <x v="36"/>
    <n v="9"/>
    <s v="Q1 2023"/>
    <x v="0"/>
    <x v="2"/>
    <n v="47339"/>
    <n v="2700"/>
    <n v="49"/>
    <n v="0.84482758620689657"/>
  </r>
  <r>
    <s v="C155"/>
    <n v="31"/>
    <x v="10"/>
    <n v="8"/>
    <s v="Q2 2023"/>
    <x v="0"/>
    <x v="2"/>
    <n v="8301"/>
    <n v="1900"/>
    <n v="41"/>
    <n v="0.83673469387755106"/>
  </r>
  <r>
    <s v="C325"/>
    <n v="33"/>
    <x v="37"/>
    <n v="8"/>
    <s v="Q2 2023"/>
    <x v="1"/>
    <x v="2"/>
    <n v="9369"/>
    <n v="1700"/>
    <n v="19"/>
    <n v="0.70370370370370372"/>
  </r>
  <r>
    <s v="C139"/>
    <n v="26"/>
    <x v="22"/>
    <n v="5"/>
    <s v="Q2 2023"/>
    <x v="0"/>
    <x v="1"/>
    <n v="6570"/>
    <n v="1700"/>
    <n v="27"/>
    <n v="0.84375"/>
  </r>
  <r>
    <s v="C769"/>
    <n v="36"/>
    <x v="12"/>
    <n v="13"/>
    <s v="Q1 2023"/>
    <x v="1"/>
    <x v="2"/>
    <n v="7214"/>
    <n v="1700"/>
    <n v="17"/>
    <n v="0.56666666666666665"/>
  </r>
  <r>
    <s v="C508"/>
    <n v="23"/>
    <x v="2"/>
    <n v="15"/>
    <s v="Q2 2023"/>
    <x v="0"/>
    <x v="1"/>
    <n v="6831"/>
    <n v="1900"/>
    <n v="36"/>
    <n v="0.70588235294117652"/>
  </r>
  <r>
    <s v="C140"/>
    <n v="36"/>
    <x v="28"/>
    <n v="13"/>
    <s v="Q2 2023"/>
    <x v="1"/>
    <x v="2"/>
    <n v="7789"/>
    <n v="1700"/>
    <n v="28"/>
    <n v="0.68292682926829273"/>
  </r>
  <r>
    <s v="C123"/>
    <n v="34"/>
    <x v="19"/>
    <n v="10"/>
    <s v="Q2 2023"/>
    <x v="0"/>
    <x v="2"/>
    <n v="7663"/>
    <n v="1900"/>
    <n v="37"/>
    <n v="0.78723404255319152"/>
  </r>
  <r>
    <s v="C746"/>
    <n v="47"/>
    <x v="14"/>
    <n v="8"/>
    <s v="Q2 2023"/>
    <x v="1"/>
    <x v="3"/>
    <n v="8615"/>
    <n v="1700"/>
    <n v="26"/>
    <n v="0.76470588235294112"/>
  </r>
  <r>
    <s v="C741"/>
    <n v="41"/>
    <x v="31"/>
    <n v="11"/>
    <s v="Q2 2023"/>
    <x v="0"/>
    <x v="0"/>
    <n v="7114"/>
    <n v="1900"/>
    <n v="41"/>
    <n v="0.78846153846153844"/>
  </r>
  <r>
    <s v="C244"/>
    <n v="40"/>
    <x v="31"/>
    <n v="6"/>
    <s v="Q1 2023"/>
    <x v="0"/>
    <x v="0"/>
    <n v="9295"/>
    <n v="1900"/>
    <n v="46"/>
    <n v="0.88461538461538458"/>
  </r>
  <r>
    <s v="C264"/>
    <n v="27"/>
    <x v="2"/>
    <n v="9"/>
    <s v="Q2 2023"/>
    <x v="0"/>
    <x v="1"/>
    <n v="9555"/>
    <n v="1900"/>
    <n v="42"/>
    <n v="0.82352941176470584"/>
  </r>
  <r>
    <s v="C298"/>
    <n v="21"/>
    <x v="28"/>
    <n v="7"/>
    <s v="Q1 2023"/>
    <x v="0"/>
    <x v="1"/>
    <n v="9184"/>
    <n v="1700"/>
    <n v="34"/>
    <n v="0.82926829268292679"/>
  </r>
  <r>
    <s v="C173"/>
    <n v="46"/>
    <x v="34"/>
    <n v="10"/>
    <s v="Q1 2023"/>
    <x v="1"/>
    <x v="4"/>
    <n v="9954"/>
    <n v="1900"/>
    <n v="36"/>
    <n v="0.78260869565217395"/>
  </r>
  <r>
    <s v="C350"/>
    <n v="26"/>
    <x v="25"/>
    <n v="8"/>
    <s v="Q2 2023"/>
    <x v="0"/>
    <x v="1"/>
    <n v="9937"/>
    <n v="1700"/>
    <n v="32"/>
    <n v="0.8"/>
  </r>
  <r>
    <s v="C584"/>
    <n v="40"/>
    <x v="36"/>
    <n v="10"/>
    <s v="Q1 2023"/>
    <x v="0"/>
    <x v="0"/>
    <n v="13911"/>
    <n v="2700"/>
    <n v="48"/>
    <n v="0.82758620689655171"/>
  </r>
  <r>
    <s v="C797"/>
    <n v="23"/>
    <x v="24"/>
    <n v="11"/>
    <s v="Q1 2023"/>
    <x v="1"/>
    <x v="1"/>
    <n v="8313"/>
    <n v="1700"/>
    <n v="14"/>
    <n v="0.56000000000000005"/>
  </r>
  <r>
    <s v="C673"/>
    <n v="46"/>
    <x v="13"/>
    <n v="11"/>
    <s v="Q2 2023"/>
    <x v="1"/>
    <x v="4"/>
    <n v="8170"/>
    <n v="1700"/>
    <n v="31"/>
    <n v="0.73809523809523814"/>
  </r>
  <r>
    <s v="C503"/>
    <n v="43"/>
    <x v="0"/>
    <n v="8"/>
    <s v="Q2 2023"/>
    <x v="0"/>
    <x v="4"/>
    <n v="31395"/>
    <n v="2500"/>
    <n v="48"/>
    <n v="0.8571428571428571"/>
  </r>
  <r>
    <s v="C796"/>
    <n v="50"/>
    <x v="34"/>
    <n v="12"/>
    <s v="Q1 2023"/>
    <x v="1"/>
    <x v="7"/>
    <n v="8769"/>
    <n v="1900"/>
    <n v="34"/>
    <n v="0.73913043478260865"/>
  </r>
  <r>
    <s v="C125"/>
    <n v="44"/>
    <x v="25"/>
    <n v="13"/>
    <s v="Q2 2023"/>
    <x v="1"/>
    <x v="4"/>
    <n v="6787"/>
    <n v="1700"/>
    <n v="27"/>
    <n v="0.67500000000000004"/>
  </r>
  <r>
    <s v="C767"/>
    <n v="25"/>
    <x v="15"/>
    <n v="10"/>
    <s v="Q1 2023"/>
    <x v="0"/>
    <x v="1"/>
    <n v="9338"/>
    <n v="1900"/>
    <n v="43"/>
    <n v="0.81132075471698117"/>
  </r>
  <r>
    <s v="C226"/>
    <n v="37"/>
    <x v="28"/>
    <n v="5"/>
    <s v="Q2 2023"/>
    <x v="1"/>
    <x v="0"/>
    <n v="7365"/>
    <n v="1700"/>
    <n v="36"/>
    <n v="0.87804878048780488"/>
  </r>
  <r>
    <s v="C627"/>
    <n v="37"/>
    <x v="8"/>
    <n v="6"/>
    <s v="Q2 2023"/>
    <x v="1"/>
    <x v="0"/>
    <n v="6512"/>
    <n v="1700"/>
    <n v="23"/>
    <n v="0.7931034482758621"/>
  </r>
  <r>
    <s v="C492"/>
    <n v="25"/>
    <x v="31"/>
    <n v="10"/>
    <s v="Q2 2023"/>
    <x v="0"/>
    <x v="1"/>
    <n v="9717"/>
    <n v="1900"/>
    <n v="42"/>
    <n v="0.80769230769230771"/>
  </r>
  <r>
    <s v="C602"/>
    <n v="23"/>
    <x v="22"/>
    <n v="8"/>
    <s v="Q1 2023"/>
    <x v="0"/>
    <x v="1"/>
    <n v="7133"/>
    <n v="1700"/>
    <n v="24"/>
    <n v="0.75"/>
  </r>
  <r>
    <s v="C377"/>
    <n v="26"/>
    <x v="32"/>
    <n v="9"/>
    <s v="Q1 2023"/>
    <x v="1"/>
    <x v="1"/>
    <n v="7944"/>
    <n v="1700"/>
    <n v="19"/>
    <n v="0.6785714285714286"/>
  </r>
  <r>
    <s v="C609"/>
    <n v="33"/>
    <x v="33"/>
    <n v="6"/>
    <s v="Q2 2023"/>
    <x v="1"/>
    <x v="2"/>
    <n v="8346"/>
    <n v="1700"/>
    <n v="31"/>
    <n v="0.83783783783783783"/>
  </r>
  <r>
    <s v="C464"/>
    <n v="40"/>
    <x v="31"/>
    <n v="5"/>
    <s v="Q2 2023"/>
    <x v="0"/>
    <x v="0"/>
    <n v="7369"/>
    <n v="1900"/>
    <n v="47"/>
    <n v="0.90384615384615385"/>
  </r>
  <r>
    <s v="C612"/>
    <n v="21"/>
    <x v="25"/>
    <n v="11"/>
    <s v="Q1 2023"/>
    <x v="0"/>
    <x v="1"/>
    <n v="9866"/>
    <n v="1700"/>
    <n v="29"/>
    <n v="0.72499999999999998"/>
  </r>
  <r>
    <s v="C316"/>
    <n v="47"/>
    <x v="25"/>
    <n v="4"/>
    <s v="Q1 2023"/>
    <x v="1"/>
    <x v="4"/>
    <n v="9311"/>
    <n v="1700"/>
    <n v="36"/>
    <n v="0.9"/>
  </r>
  <r>
    <s v="C536"/>
    <n v="30"/>
    <x v="17"/>
    <n v="8"/>
    <s v="Q1 2023"/>
    <x v="0"/>
    <x v="2"/>
    <n v="7822"/>
    <n v="1700"/>
    <n v="35"/>
    <n v="0.81395348837209303"/>
  </r>
  <r>
    <s v="C726"/>
    <n v="27"/>
    <x v="19"/>
    <n v="11"/>
    <s v="Q1 2023"/>
    <x v="0"/>
    <x v="1"/>
    <n v="7690"/>
    <n v="1900"/>
    <n v="36"/>
    <n v="0.76595744680851063"/>
  </r>
  <r>
    <s v="C149"/>
    <n v="37"/>
    <x v="21"/>
    <n v="17"/>
    <s v="Q2 2023"/>
    <x v="1"/>
    <x v="0"/>
    <n v="7590"/>
    <n v="1700"/>
    <n v="21"/>
    <n v="0.55263157894736847"/>
  </r>
  <r>
    <s v="C320"/>
    <n v="30"/>
    <x v="30"/>
    <n v="8"/>
    <s v="Q1 2023"/>
    <x v="0"/>
    <x v="2"/>
    <n v="6569"/>
    <n v="1900"/>
    <n v="40"/>
    <n v="0.83333333333333337"/>
  </r>
  <r>
    <s v="C511"/>
    <n v="34"/>
    <x v="1"/>
    <n v="7"/>
    <s v="Q1 2023"/>
    <x v="0"/>
    <x v="2"/>
    <n v="27198"/>
    <n v="2500"/>
    <n v="48"/>
    <n v="0.87272727272727268"/>
  </r>
  <r>
    <s v="C533"/>
    <n v="30"/>
    <x v="33"/>
    <n v="6"/>
    <s v="Q2 2023"/>
    <x v="0"/>
    <x v="2"/>
    <n v="6523"/>
    <n v="1700"/>
    <n v="31"/>
    <n v="0.83783783783783783"/>
  </r>
  <r>
    <s v="C107"/>
    <n v="37"/>
    <x v="2"/>
    <n v="5"/>
    <s v="Q1 2023"/>
    <x v="0"/>
    <x v="0"/>
    <n v="9317"/>
    <n v="1900"/>
    <n v="46"/>
    <n v="0.90196078431372551"/>
  </r>
  <r>
    <s v="C204"/>
    <n v="46"/>
    <x v="8"/>
    <n v="11"/>
    <s v="Q1 2023"/>
    <x v="1"/>
    <x v="4"/>
    <n v="6722"/>
    <n v="1700"/>
    <n v="18"/>
    <n v="0.62068965517241381"/>
  </r>
  <r>
    <s v="C113"/>
    <n v="36"/>
    <x v="13"/>
    <n v="8"/>
    <s v="Q2 2023"/>
    <x v="1"/>
    <x v="2"/>
    <n v="6936"/>
    <n v="1700"/>
    <n v="34"/>
    <n v="0.80952380952380953"/>
  </r>
  <r>
    <s v="C430"/>
    <n v="39"/>
    <x v="8"/>
    <n v="16"/>
    <s v="Q1 2023"/>
    <x v="1"/>
    <x v="0"/>
    <n v="7587"/>
    <n v="1700"/>
    <n v="13"/>
    <n v="0.44827586206896552"/>
  </r>
  <r>
    <s v="C687"/>
    <n v="24"/>
    <x v="29"/>
    <n v="11"/>
    <s v="Q1 2023"/>
    <x v="0"/>
    <x v="1"/>
    <n v="22153"/>
    <n v="2500"/>
    <n v="43"/>
    <n v="0.79629629629629628"/>
  </r>
  <r>
    <s v="C570"/>
    <n v="32"/>
    <x v="31"/>
    <n v="11"/>
    <s v="Q2 2023"/>
    <x v="0"/>
    <x v="2"/>
    <n v="9119"/>
    <n v="1900"/>
    <n v="41"/>
    <n v="0.78846153846153844"/>
  </r>
  <r>
    <s v="C160"/>
    <n v="29"/>
    <x v="19"/>
    <n v="11"/>
    <s v="Q1 2023"/>
    <x v="0"/>
    <x v="2"/>
    <n v="9931"/>
    <n v="1900"/>
    <n v="36"/>
    <n v="0.76595744680851063"/>
  </r>
  <r>
    <s v="C663"/>
    <n v="25"/>
    <x v="16"/>
    <n v="9"/>
    <s v="Q2 2023"/>
    <x v="0"/>
    <x v="1"/>
    <n v="6728"/>
    <n v="1700"/>
    <n v="27"/>
    <n v="0.75"/>
  </r>
  <r>
    <s v="C638"/>
    <n v="49"/>
    <x v="7"/>
    <n v="11"/>
    <s v="Q2 2023"/>
    <x v="1"/>
    <x v="5"/>
    <n v="7524"/>
    <n v="1700"/>
    <n v="15"/>
    <n v="0.57692307692307687"/>
  </r>
  <r>
    <s v="C649"/>
    <n v="43"/>
    <x v="40"/>
    <n v="9"/>
    <s v="Q1 2023"/>
    <x v="0"/>
    <x v="4"/>
    <n v="44959"/>
    <n v="2500"/>
    <n v="72"/>
    <n v="0.88888888888888884"/>
  </r>
  <r>
    <s v="C105"/>
    <n v="43"/>
    <x v="35"/>
    <n v="12"/>
    <s v="Q1 2023"/>
    <x v="0"/>
    <x v="0"/>
    <n v="23702"/>
    <n v="2700"/>
    <n v="45"/>
    <n v="0.78947368421052633"/>
  </r>
  <r>
    <s v="C374"/>
    <n v="40"/>
    <x v="24"/>
    <n v="6"/>
    <s v="Q2 2023"/>
    <x v="1"/>
    <x v="0"/>
    <n v="7596"/>
    <n v="1700"/>
    <n v="19"/>
    <n v="0.76"/>
  </r>
  <r>
    <s v="C240"/>
    <n v="27"/>
    <x v="12"/>
    <n v="11"/>
    <s v="Q1 2023"/>
    <x v="1"/>
    <x v="1"/>
    <n v="9440"/>
    <n v="1700"/>
    <n v="19"/>
    <n v="0.6333333333333333"/>
  </r>
  <r>
    <s v="C689"/>
    <n v="25"/>
    <x v="6"/>
    <n v="10"/>
    <s v="Q2 2023"/>
    <x v="0"/>
    <x v="1"/>
    <n v="8598"/>
    <n v="1700"/>
    <n v="34"/>
    <n v="0.77272727272727271"/>
  </r>
  <r>
    <s v="C249"/>
    <n v="36"/>
    <x v="25"/>
    <n v="8"/>
    <s v="Q2 2023"/>
    <x v="1"/>
    <x v="2"/>
    <n v="7063"/>
    <n v="1700"/>
    <n v="32"/>
    <n v="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8AEF829-6214-C24A-87B6-95ACE3AA7F68}" name="PivotTable3" cacheId="8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9:D53" firstHeaderRow="1" firstDataRow="2" firstDataCol="1"/>
  <pivotFields count="11">
    <pivotField showAll="0"/>
    <pivotField showAll="0"/>
    <pivotField dataField="1" showAll="0"/>
    <pivotField showAll="0"/>
    <pivotField axis="axisRow" showAll="0">
      <items count="4">
        <item x="1"/>
        <item x="0"/>
        <item h="1" m="1" x="2"/>
        <item t="default"/>
      </items>
    </pivotField>
    <pivotField axis="axisCol" showAll="0">
      <items count="4">
        <item x="1"/>
        <item x="0"/>
        <item h="1" m="1" x="2"/>
        <item t="default"/>
      </items>
    </pivotField>
    <pivotField showAll="0"/>
    <pivotField showAll="0"/>
    <pivotField showAll="0"/>
    <pivotField showAll="0"/>
    <pivotField showAll="0"/>
  </pivotFields>
  <rowFields count="1">
    <field x="4"/>
  </rowFields>
  <rowItems count="3">
    <i>
      <x/>
    </i>
    <i>
      <x v="1"/>
    </i>
    <i t="grand">
      <x/>
    </i>
  </rowItems>
  <colFields count="1">
    <field x="5"/>
  </colFields>
  <colItems count="3">
    <i>
      <x/>
    </i>
    <i>
      <x v="1"/>
    </i>
    <i t="grand">
      <x/>
    </i>
  </colItems>
  <dataFields count="1">
    <dataField name="Sum of Gross_Sale" fld="2" baseField="0" baseItem="0"/>
  </dataField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4" series="1">
      <pivotArea type="data" outline="0" fieldPosition="0">
        <references count="2">
          <reference field="4294967294" count="1" selected="0">
            <x v="0"/>
          </reference>
          <reference field="5" count="1" selected="0">
            <x v="0"/>
          </reference>
        </references>
      </pivotArea>
    </chartFormat>
    <chartFormat chart="3" format="5" series="1">
      <pivotArea type="data" outline="0" fieldPosition="0">
        <references count="2">
          <reference field="4294967294" count="1" selected="0">
            <x v="0"/>
          </reference>
          <reference field="5" count="1" selected="0">
            <x v="1"/>
          </reference>
        </references>
      </pivotArea>
    </chartFormat>
    <chartFormat chart="3" format="6"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08B008-2274-CC43-9AB6-31B13388D441}" name="PivotTable2"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8:C30" firstHeaderRow="0" firstDataRow="1" firstDataCol="1"/>
  <pivotFields count="11">
    <pivotField dataField="1" showAll="0"/>
    <pivotField showAll="0"/>
    <pivotField dataField="1" showAll="0"/>
    <pivotField showAll="0"/>
    <pivotField showAll="0"/>
    <pivotField axis="axisRow" showAll="0">
      <items count="4">
        <item h="1" m="1" x="2"/>
        <item h="1" x="1"/>
        <item x="0"/>
        <item t="default"/>
      </items>
    </pivotField>
    <pivotField showAll="0">
      <items count="9">
        <item x="5"/>
        <item x="1"/>
        <item x="7"/>
        <item x="0"/>
        <item x="3"/>
        <item x="6"/>
        <item x="2"/>
        <item x="4"/>
        <item t="default"/>
      </items>
    </pivotField>
    <pivotField showAll="0"/>
    <pivotField showAll="0"/>
    <pivotField showAll="0"/>
    <pivotField numFmtId="164" showAll="0"/>
  </pivotFields>
  <rowFields count="1">
    <field x="5"/>
  </rowFields>
  <rowItems count="2">
    <i>
      <x v="2"/>
    </i>
    <i t="grand">
      <x/>
    </i>
  </rowItems>
  <colFields count="1">
    <field x="-2"/>
  </colFields>
  <colItems count="2">
    <i>
      <x/>
    </i>
    <i i="1">
      <x v="1"/>
    </i>
  </colItems>
  <dataFields count="2">
    <dataField name="Sum of Gross_Sale" fld="2" baseField="0" baseItem="0"/>
    <dataField name="Count of Coles_StoreIDNo"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9B3DA-B01D-1144-9AD8-52516BF2F153}" name="PivotTable1"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11" firstHeaderRow="0" firstDataRow="1" firstDataCol="1"/>
  <pivotFields count="11">
    <pivotField showAll="0"/>
    <pivotField showAll="0"/>
    <pivotField dataField="1" showAll="0">
      <items count="42">
        <item x="24"/>
        <item x="7"/>
        <item x="37"/>
        <item x="32"/>
        <item x="8"/>
        <item x="12"/>
        <item x="18"/>
        <item x="22"/>
        <item x="23"/>
        <item x="14"/>
        <item x="26"/>
        <item x="16"/>
        <item x="33"/>
        <item x="21"/>
        <item x="4"/>
        <item x="25"/>
        <item x="28"/>
        <item x="13"/>
        <item x="17"/>
        <item x="6"/>
        <item x="9"/>
        <item x="34"/>
        <item x="19"/>
        <item x="30"/>
        <item x="10"/>
        <item x="3"/>
        <item x="2"/>
        <item x="31"/>
        <item x="15"/>
        <item x="29"/>
        <item x="1"/>
        <item x="0"/>
        <item x="35"/>
        <item x="36"/>
        <item x="20"/>
        <item x="38"/>
        <item x="39"/>
        <item x="27"/>
        <item x="40"/>
        <item x="5"/>
        <item x="11"/>
        <item t="default"/>
      </items>
    </pivotField>
    <pivotField showAll="0"/>
    <pivotField showAll="0"/>
    <pivotField showAll="0">
      <items count="4">
        <item h="1" m="1" x="2"/>
        <item h="1" x="1"/>
        <item x="0"/>
        <item t="default"/>
      </items>
    </pivotField>
    <pivotField axis="axisRow" showAll="0">
      <items count="9">
        <item x="5"/>
        <item x="1"/>
        <item x="7"/>
        <item x="0"/>
        <item x="3"/>
        <item x="6"/>
        <item x="2"/>
        <item x="4"/>
        <item t="default"/>
      </items>
    </pivotField>
    <pivotField showAll="0"/>
    <pivotField showAll="0"/>
    <pivotField dataField="1" showAll="0"/>
    <pivotField numFmtId="164" showAll="0"/>
  </pivotFields>
  <rowFields count="1">
    <field x="6"/>
  </rowFields>
  <rowItems count="8">
    <i>
      <x/>
    </i>
    <i>
      <x v="1"/>
    </i>
    <i>
      <x v="3"/>
    </i>
    <i>
      <x v="4"/>
    </i>
    <i>
      <x v="5"/>
    </i>
    <i>
      <x v="6"/>
    </i>
    <i>
      <x v="7"/>
    </i>
    <i t="grand">
      <x/>
    </i>
  </rowItems>
  <colFields count="1">
    <field x="-2"/>
  </colFields>
  <colItems count="2">
    <i>
      <x/>
    </i>
    <i i="1">
      <x v="1"/>
    </i>
  </colItems>
  <dataFields count="2">
    <dataField name="Sum of Profit" fld="9" baseField="0" baseItem="0"/>
    <dataField name="Sum of Gross_Sale" fld="2"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232EAFA-E919-144F-A594-BF6D615D481A}" sourceName="State">
  <pivotTables>
    <pivotTable tabId="6" name="PivotTable1"/>
    <pivotTable tabId="6" name="PivotTable2"/>
  </pivotTables>
  <data>
    <tabular pivotCacheId="873516220">
      <items count="8">
        <i x="5" s="1"/>
        <i x="1" s="1"/>
        <i x="0" s="1"/>
        <i x="3" s="1"/>
        <i x="6" s="1"/>
        <i x="2" s="1"/>
        <i x="4"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es_Forecast" xr10:uid="{73E2CA82-523D-5748-9E44-AC4EBA848AF9}" sourceName="Coles_Forecast">
  <pivotTables>
    <pivotTable tabId="6" name="PivotTable2"/>
    <pivotTable tabId="6" name="PivotTable1"/>
  </pivotTables>
  <data>
    <tabular pivotCacheId="873516220">
      <items count="3">
        <i x="1"/>
        <i x="0" s="1"/>
        <i x="2"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rgeted_Quarter" xr10:uid="{5AD81D75-6A8D-EB48-9B80-D276ABF175FE}" sourceName="Targeted_Quarter">
  <pivotTables>
    <pivotTable tabId="6" name="PivotTable3"/>
  </pivotTables>
  <data>
    <tabular pivotCacheId="377259920">
      <items count="3">
        <i x="1" s="1"/>
        <i x="0" s="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F82E1DE3-DCE9-634F-8666-4173EB6A7BA3}" cache="Slicer_State" caption="State" rowHeight="251883"/>
  <slicer name="Coles_Forecast" xr10:uid="{E2C2D890-FEA5-9047-9432-F613E2BA3518}" cache="Slicer_Coles_Forecast" caption="Coles_Forecast" rowHeight="251883"/>
  <slicer name="Targeted_Quarter" xr10:uid="{A2B8393A-1667-2D42-A59A-51D2F3BF0620}" cache="Slicer_Targeted_Quarter" caption="Targeted_Quarte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3B2BD-CEE8-7646-9A0E-762408991761}">
  <dimension ref="A1:G683"/>
  <sheetViews>
    <sheetView workbookViewId="0">
      <selection activeCell="E32" sqref="A1:G683"/>
    </sheetView>
  </sheetViews>
  <sheetFormatPr baseColWidth="10" defaultRowHeight="16" x14ac:dyDescent="0.2"/>
  <cols>
    <col min="7" max="7" width="13.83203125" bestFit="1" customWidth="1"/>
  </cols>
  <sheetData>
    <row r="1" spans="1:7" x14ac:dyDescent="0.2">
      <c r="B1" t="s">
        <v>709</v>
      </c>
      <c r="C1" t="s">
        <v>708</v>
      </c>
      <c r="D1" t="s">
        <v>707</v>
      </c>
      <c r="E1" t="s">
        <v>706</v>
      </c>
      <c r="F1" t="s">
        <v>705</v>
      </c>
      <c r="G1" t="s">
        <v>704</v>
      </c>
    </row>
    <row r="2" spans="1:7" x14ac:dyDescent="0.2">
      <c r="A2">
        <v>1</v>
      </c>
      <c r="B2" t="s">
        <v>694</v>
      </c>
      <c r="C2">
        <v>39</v>
      </c>
      <c r="D2">
        <v>56</v>
      </c>
      <c r="E2">
        <v>6</v>
      </c>
      <c r="F2" t="s">
        <v>701</v>
      </c>
      <c r="G2" t="s">
        <v>702</v>
      </c>
    </row>
    <row r="3" spans="1:7" x14ac:dyDescent="0.2">
      <c r="A3">
        <v>2</v>
      </c>
      <c r="B3" t="s">
        <v>693</v>
      </c>
      <c r="C3">
        <v>22</v>
      </c>
      <c r="D3">
        <v>55</v>
      </c>
      <c r="E3">
        <v>7</v>
      </c>
      <c r="F3" t="s">
        <v>703</v>
      </c>
      <c r="G3" t="s">
        <v>702</v>
      </c>
    </row>
    <row r="4" spans="1:7" x14ac:dyDescent="0.2">
      <c r="A4">
        <v>3</v>
      </c>
      <c r="B4" t="s">
        <v>692</v>
      </c>
      <c r="C4">
        <v>36</v>
      </c>
      <c r="D4">
        <v>51</v>
      </c>
      <c r="E4">
        <v>7</v>
      </c>
      <c r="F4" t="s">
        <v>703</v>
      </c>
      <c r="G4" t="s">
        <v>702</v>
      </c>
    </row>
    <row r="5" spans="1:7" x14ac:dyDescent="0.2">
      <c r="A5">
        <v>4</v>
      </c>
      <c r="B5" t="s">
        <v>691</v>
      </c>
      <c r="C5">
        <v>48</v>
      </c>
      <c r="D5">
        <v>50</v>
      </c>
      <c r="E5">
        <v>10</v>
      </c>
      <c r="F5" t="s">
        <v>703</v>
      </c>
      <c r="G5" t="s">
        <v>700</v>
      </c>
    </row>
    <row r="6" spans="1:7" x14ac:dyDescent="0.2">
      <c r="A6">
        <v>5</v>
      </c>
      <c r="B6" t="s">
        <v>690</v>
      </c>
      <c r="C6">
        <v>23</v>
      </c>
      <c r="D6">
        <v>39</v>
      </c>
      <c r="E6">
        <v>18</v>
      </c>
      <c r="F6" t="s">
        <v>701</v>
      </c>
      <c r="G6" t="s">
        <v>700</v>
      </c>
    </row>
    <row r="7" spans="1:7" x14ac:dyDescent="0.2">
      <c r="A7">
        <v>6</v>
      </c>
      <c r="B7" t="s">
        <v>689</v>
      </c>
      <c r="C7">
        <v>38</v>
      </c>
      <c r="D7">
        <v>84</v>
      </c>
      <c r="E7">
        <v>15</v>
      </c>
      <c r="F7" t="s">
        <v>701</v>
      </c>
      <c r="G7" t="s">
        <v>702</v>
      </c>
    </row>
    <row r="8" spans="1:7" x14ac:dyDescent="0.2">
      <c r="A8">
        <v>7</v>
      </c>
      <c r="B8" t="s">
        <v>688</v>
      </c>
      <c r="C8">
        <v>31</v>
      </c>
      <c r="D8">
        <v>55</v>
      </c>
      <c r="E8">
        <v>10</v>
      </c>
      <c r="F8" t="s">
        <v>703</v>
      </c>
      <c r="G8" t="s">
        <v>702</v>
      </c>
    </row>
    <row r="9" spans="1:7" x14ac:dyDescent="0.2">
      <c r="A9">
        <v>8</v>
      </c>
      <c r="B9" t="s">
        <v>687</v>
      </c>
      <c r="C9">
        <v>38</v>
      </c>
      <c r="D9">
        <v>44</v>
      </c>
      <c r="E9">
        <v>8</v>
      </c>
      <c r="F9" t="s">
        <v>703</v>
      </c>
      <c r="G9" t="s">
        <v>700</v>
      </c>
    </row>
    <row r="10" spans="1:7" x14ac:dyDescent="0.2">
      <c r="A10">
        <v>9</v>
      </c>
      <c r="B10" t="s">
        <v>686</v>
      </c>
      <c r="C10">
        <v>30</v>
      </c>
      <c r="D10">
        <v>39</v>
      </c>
      <c r="E10">
        <v>10</v>
      </c>
      <c r="F10" t="s">
        <v>701</v>
      </c>
      <c r="G10" t="s">
        <v>700</v>
      </c>
    </row>
    <row r="11" spans="1:7" x14ac:dyDescent="0.2">
      <c r="A11">
        <v>10</v>
      </c>
      <c r="B11" t="s">
        <v>685</v>
      </c>
      <c r="C11">
        <v>44</v>
      </c>
      <c r="D11">
        <v>26</v>
      </c>
      <c r="E11">
        <v>15</v>
      </c>
      <c r="F11" t="s">
        <v>703</v>
      </c>
      <c r="G11" t="s">
        <v>700</v>
      </c>
    </row>
    <row r="12" spans="1:7" x14ac:dyDescent="0.2">
      <c r="A12">
        <v>11</v>
      </c>
      <c r="B12" t="s">
        <v>684</v>
      </c>
      <c r="C12">
        <v>34</v>
      </c>
      <c r="D12">
        <v>29</v>
      </c>
      <c r="E12">
        <v>13</v>
      </c>
      <c r="F12" t="s">
        <v>703</v>
      </c>
      <c r="G12" t="s">
        <v>700</v>
      </c>
    </row>
    <row r="13" spans="1:7" x14ac:dyDescent="0.2">
      <c r="A13">
        <v>12</v>
      </c>
      <c r="B13" t="s">
        <v>683</v>
      </c>
      <c r="C13">
        <v>49</v>
      </c>
      <c r="D13">
        <v>45</v>
      </c>
      <c r="E13">
        <v>9</v>
      </c>
      <c r="F13" t="s">
        <v>701</v>
      </c>
      <c r="G13" t="s">
        <v>700</v>
      </c>
    </row>
    <row r="14" spans="1:7" x14ac:dyDescent="0.2">
      <c r="A14">
        <v>13</v>
      </c>
      <c r="B14" t="s">
        <v>682</v>
      </c>
      <c r="C14">
        <v>37</v>
      </c>
      <c r="D14">
        <v>49</v>
      </c>
      <c r="E14">
        <v>13</v>
      </c>
      <c r="F14" t="s">
        <v>701</v>
      </c>
      <c r="G14" t="s">
        <v>700</v>
      </c>
    </row>
    <row r="15" spans="1:7" x14ac:dyDescent="0.2">
      <c r="A15">
        <v>14</v>
      </c>
      <c r="B15" t="s">
        <v>681</v>
      </c>
      <c r="C15">
        <v>21</v>
      </c>
      <c r="D15">
        <v>89</v>
      </c>
      <c r="E15">
        <v>9</v>
      </c>
      <c r="F15" t="s">
        <v>701</v>
      </c>
      <c r="G15" t="s">
        <v>702</v>
      </c>
    </row>
    <row r="16" spans="1:7" x14ac:dyDescent="0.2">
      <c r="A16">
        <v>15</v>
      </c>
      <c r="B16" t="s">
        <v>680</v>
      </c>
      <c r="C16">
        <v>49</v>
      </c>
      <c r="D16">
        <v>30</v>
      </c>
      <c r="E16">
        <v>10</v>
      </c>
      <c r="F16" t="s">
        <v>701</v>
      </c>
      <c r="G16" t="s">
        <v>700</v>
      </c>
    </row>
    <row r="17" spans="1:7" x14ac:dyDescent="0.2">
      <c r="A17">
        <v>16</v>
      </c>
      <c r="B17" t="s">
        <v>679</v>
      </c>
      <c r="C17">
        <v>37</v>
      </c>
      <c r="D17">
        <v>56</v>
      </c>
      <c r="E17">
        <v>9</v>
      </c>
      <c r="F17" t="s">
        <v>701</v>
      </c>
      <c r="G17" t="s">
        <v>702</v>
      </c>
    </row>
    <row r="18" spans="1:7" x14ac:dyDescent="0.2">
      <c r="A18">
        <v>17</v>
      </c>
      <c r="B18" t="s">
        <v>678</v>
      </c>
      <c r="C18">
        <v>50</v>
      </c>
      <c r="D18">
        <v>39</v>
      </c>
      <c r="E18">
        <v>13</v>
      </c>
      <c r="F18" t="s">
        <v>703</v>
      </c>
      <c r="G18" t="s">
        <v>700</v>
      </c>
    </row>
    <row r="19" spans="1:7" x14ac:dyDescent="0.2">
      <c r="A19">
        <v>18</v>
      </c>
      <c r="B19" t="s">
        <v>677</v>
      </c>
      <c r="C19">
        <v>49</v>
      </c>
      <c r="D19">
        <v>56</v>
      </c>
      <c r="E19">
        <v>3</v>
      </c>
      <c r="F19" t="s">
        <v>701</v>
      </c>
      <c r="G19" t="s">
        <v>702</v>
      </c>
    </row>
    <row r="20" spans="1:7" x14ac:dyDescent="0.2">
      <c r="A20">
        <v>19</v>
      </c>
      <c r="B20" t="s">
        <v>676</v>
      </c>
      <c r="C20">
        <v>44</v>
      </c>
      <c r="D20">
        <v>29</v>
      </c>
      <c r="E20">
        <v>16</v>
      </c>
      <c r="F20" t="s">
        <v>703</v>
      </c>
      <c r="G20" t="s">
        <v>700</v>
      </c>
    </row>
    <row r="21" spans="1:7" x14ac:dyDescent="0.2">
      <c r="A21">
        <v>20</v>
      </c>
      <c r="B21" t="s">
        <v>675</v>
      </c>
      <c r="C21">
        <v>44</v>
      </c>
      <c r="D21">
        <v>42</v>
      </c>
      <c r="E21">
        <v>6</v>
      </c>
      <c r="F21" t="s">
        <v>703</v>
      </c>
      <c r="G21" t="s">
        <v>700</v>
      </c>
    </row>
    <row r="22" spans="1:7" x14ac:dyDescent="0.2">
      <c r="A22">
        <v>21</v>
      </c>
      <c r="B22" t="s">
        <v>674</v>
      </c>
      <c r="C22">
        <v>50</v>
      </c>
      <c r="D22">
        <v>34</v>
      </c>
      <c r="E22">
        <v>12</v>
      </c>
      <c r="F22" t="s">
        <v>701</v>
      </c>
      <c r="G22" t="s">
        <v>700</v>
      </c>
    </row>
    <row r="23" spans="1:7" x14ac:dyDescent="0.2">
      <c r="A23">
        <v>22</v>
      </c>
      <c r="B23" t="s">
        <v>673</v>
      </c>
      <c r="C23">
        <v>48</v>
      </c>
      <c r="D23">
        <v>44</v>
      </c>
      <c r="E23">
        <v>9</v>
      </c>
      <c r="F23" t="s">
        <v>701</v>
      </c>
      <c r="G23" t="s">
        <v>700</v>
      </c>
    </row>
    <row r="24" spans="1:7" x14ac:dyDescent="0.2">
      <c r="A24">
        <v>23</v>
      </c>
      <c r="B24" t="s">
        <v>672</v>
      </c>
      <c r="C24">
        <v>27</v>
      </c>
      <c r="D24">
        <v>57</v>
      </c>
      <c r="E24">
        <v>11</v>
      </c>
      <c r="F24" t="s">
        <v>703</v>
      </c>
      <c r="G24" t="s">
        <v>702</v>
      </c>
    </row>
    <row r="25" spans="1:7" x14ac:dyDescent="0.2">
      <c r="A25">
        <v>24</v>
      </c>
      <c r="B25" t="s">
        <v>671</v>
      </c>
      <c r="C25">
        <v>27</v>
      </c>
      <c r="D25">
        <v>53</v>
      </c>
      <c r="E25">
        <v>11</v>
      </c>
      <c r="F25" t="s">
        <v>703</v>
      </c>
      <c r="G25" t="s">
        <v>702</v>
      </c>
    </row>
    <row r="26" spans="1:7" x14ac:dyDescent="0.2">
      <c r="A26">
        <v>25</v>
      </c>
      <c r="B26" t="s">
        <v>670</v>
      </c>
      <c r="C26">
        <v>33</v>
      </c>
      <c r="D26">
        <v>49</v>
      </c>
      <c r="E26">
        <v>12</v>
      </c>
      <c r="F26" t="s">
        <v>703</v>
      </c>
      <c r="G26" t="s">
        <v>702</v>
      </c>
    </row>
    <row r="27" spans="1:7" x14ac:dyDescent="0.2">
      <c r="A27">
        <v>26</v>
      </c>
      <c r="B27" t="s">
        <v>669</v>
      </c>
      <c r="C27">
        <v>24</v>
      </c>
      <c r="D27">
        <v>36</v>
      </c>
      <c r="E27">
        <v>12</v>
      </c>
      <c r="F27" t="s">
        <v>701</v>
      </c>
      <c r="G27" t="s">
        <v>702</v>
      </c>
    </row>
    <row r="28" spans="1:7" x14ac:dyDescent="0.2">
      <c r="A28">
        <v>27</v>
      </c>
      <c r="B28" t="s">
        <v>668</v>
      </c>
      <c r="C28">
        <v>22</v>
      </c>
      <c r="D28">
        <v>34</v>
      </c>
      <c r="E28">
        <v>10</v>
      </c>
      <c r="F28" t="s">
        <v>701</v>
      </c>
      <c r="G28" t="s">
        <v>702</v>
      </c>
    </row>
    <row r="29" spans="1:7" x14ac:dyDescent="0.2">
      <c r="A29">
        <v>28</v>
      </c>
      <c r="B29" t="s">
        <v>667</v>
      </c>
      <c r="C29">
        <v>36</v>
      </c>
      <c r="D29">
        <v>43</v>
      </c>
      <c r="E29">
        <v>5</v>
      </c>
      <c r="F29" t="s">
        <v>703</v>
      </c>
      <c r="G29" t="s">
        <v>702</v>
      </c>
    </row>
    <row r="30" spans="1:7" x14ac:dyDescent="0.2">
      <c r="A30">
        <v>29</v>
      </c>
      <c r="B30" t="s">
        <v>666</v>
      </c>
      <c r="C30">
        <v>24</v>
      </c>
      <c r="D30">
        <v>53</v>
      </c>
      <c r="E30">
        <v>11</v>
      </c>
      <c r="F30" t="s">
        <v>703</v>
      </c>
      <c r="G30" t="s">
        <v>702</v>
      </c>
    </row>
    <row r="31" spans="1:7" x14ac:dyDescent="0.2">
      <c r="A31">
        <v>30</v>
      </c>
      <c r="B31" t="s">
        <v>665</v>
      </c>
      <c r="C31">
        <v>25</v>
      </c>
      <c r="D31">
        <v>42</v>
      </c>
      <c r="E31">
        <v>13</v>
      </c>
      <c r="F31" t="s">
        <v>701</v>
      </c>
      <c r="G31" t="s">
        <v>702</v>
      </c>
    </row>
    <row r="32" spans="1:7" x14ac:dyDescent="0.2">
      <c r="A32">
        <v>31</v>
      </c>
      <c r="B32" t="s">
        <v>664</v>
      </c>
      <c r="C32">
        <v>37</v>
      </c>
      <c r="D32">
        <v>57</v>
      </c>
      <c r="E32" t="s">
        <v>21</v>
      </c>
      <c r="F32" t="s">
        <v>703</v>
      </c>
      <c r="G32" t="s">
        <v>21</v>
      </c>
    </row>
    <row r="33" spans="1:7" x14ac:dyDescent="0.2">
      <c r="A33">
        <v>32</v>
      </c>
      <c r="B33" t="s">
        <v>663</v>
      </c>
      <c r="C33">
        <v>42</v>
      </c>
      <c r="D33">
        <v>55</v>
      </c>
      <c r="E33">
        <v>5</v>
      </c>
      <c r="F33" t="s">
        <v>703</v>
      </c>
      <c r="G33" t="s">
        <v>702</v>
      </c>
    </row>
    <row r="34" spans="1:7" x14ac:dyDescent="0.2">
      <c r="A34">
        <v>33</v>
      </c>
      <c r="B34" t="s">
        <v>662</v>
      </c>
      <c r="C34">
        <v>43</v>
      </c>
      <c r="D34">
        <v>31</v>
      </c>
      <c r="E34">
        <v>8</v>
      </c>
      <c r="F34" t="s">
        <v>701</v>
      </c>
      <c r="G34" t="s">
        <v>700</v>
      </c>
    </row>
    <row r="35" spans="1:7" x14ac:dyDescent="0.2">
      <c r="A35">
        <v>34</v>
      </c>
      <c r="B35" t="s">
        <v>661</v>
      </c>
      <c r="C35">
        <v>23</v>
      </c>
      <c r="D35">
        <v>36</v>
      </c>
      <c r="E35">
        <v>11</v>
      </c>
      <c r="F35" t="s">
        <v>701</v>
      </c>
      <c r="G35" t="s">
        <v>702</v>
      </c>
    </row>
    <row r="36" spans="1:7" x14ac:dyDescent="0.2">
      <c r="A36">
        <v>35</v>
      </c>
      <c r="B36" t="s">
        <v>660</v>
      </c>
      <c r="C36">
        <v>41</v>
      </c>
      <c r="D36">
        <v>47</v>
      </c>
      <c r="E36">
        <v>7</v>
      </c>
      <c r="F36" t="s">
        <v>701</v>
      </c>
      <c r="G36" t="s">
        <v>700</v>
      </c>
    </row>
    <row r="37" spans="1:7" x14ac:dyDescent="0.2">
      <c r="A37">
        <v>36</v>
      </c>
      <c r="B37" t="s">
        <v>659</v>
      </c>
      <c r="C37">
        <v>40</v>
      </c>
      <c r="D37">
        <v>29</v>
      </c>
      <c r="E37">
        <v>5</v>
      </c>
      <c r="F37" t="s">
        <v>701</v>
      </c>
      <c r="G37" t="s">
        <v>700</v>
      </c>
    </row>
    <row r="38" spans="1:7" x14ac:dyDescent="0.2">
      <c r="A38">
        <v>37</v>
      </c>
      <c r="B38" t="s">
        <v>658</v>
      </c>
      <c r="C38">
        <v>30</v>
      </c>
      <c r="D38">
        <v>59</v>
      </c>
      <c r="E38">
        <v>9</v>
      </c>
      <c r="F38" t="s">
        <v>701</v>
      </c>
      <c r="G38" t="s">
        <v>702</v>
      </c>
    </row>
    <row r="39" spans="1:7" x14ac:dyDescent="0.2">
      <c r="A39">
        <v>38</v>
      </c>
      <c r="B39" t="s">
        <v>657</v>
      </c>
      <c r="C39">
        <v>29</v>
      </c>
      <c r="D39">
        <v>50</v>
      </c>
      <c r="E39">
        <v>20</v>
      </c>
      <c r="F39" t="s">
        <v>703</v>
      </c>
      <c r="G39" t="s">
        <v>702</v>
      </c>
    </row>
    <row r="40" spans="1:7" x14ac:dyDescent="0.2">
      <c r="A40">
        <v>39</v>
      </c>
      <c r="B40" t="s">
        <v>656</v>
      </c>
      <c r="C40">
        <v>34</v>
      </c>
      <c r="D40">
        <v>38</v>
      </c>
      <c r="E40">
        <v>6</v>
      </c>
      <c r="F40" t="s">
        <v>703</v>
      </c>
      <c r="G40" t="s">
        <v>700</v>
      </c>
    </row>
    <row r="41" spans="1:7" x14ac:dyDescent="0.2">
      <c r="A41">
        <v>40</v>
      </c>
      <c r="B41" t="s">
        <v>655</v>
      </c>
      <c r="C41">
        <v>38</v>
      </c>
      <c r="D41">
        <v>32</v>
      </c>
      <c r="E41">
        <v>10</v>
      </c>
      <c r="F41" t="s">
        <v>703</v>
      </c>
      <c r="G41" t="s">
        <v>700</v>
      </c>
    </row>
    <row r="42" spans="1:7" x14ac:dyDescent="0.2">
      <c r="A42">
        <v>41</v>
      </c>
      <c r="B42" t="s">
        <v>654</v>
      </c>
      <c r="C42">
        <v>24</v>
      </c>
      <c r="D42">
        <v>30</v>
      </c>
      <c r="E42">
        <v>10</v>
      </c>
      <c r="F42" t="s">
        <v>703</v>
      </c>
      <c r="G42" t="s">
        <v>700</v>
      </c>
    </row>
    <row r="43" spans="1:7" x14ac:dyDescent="0.2">
      <c r="A43">
        <v>42</v>
      </c>
      <c r="B43" t="s">
        <v>653</v>
      </c>
      <c r="C43">
        <v>48</v>
      </c>
      <c r="D43">
        <v>55</v>
      </c>
      <c r="E43">
        <v>7</v>
      </c>
      <c r="F43" t="s">
        <v>703</v>
      </c>
      <c r="G43" t="s">
        <v>702</v>
      </c>
    </row>
    <row r="44" spans="1:7" x14ac:dyDescent="0.2">
      <c r="A44">
        <v>43</v>
      </c>
      <c r="B44" t="s">
        <v>652</v>
      </c>
      <c r="C44">
        <v>28</v>
      </c>
      <c r="D44">
        <v>50</v>
      </c>
      <c r="E44">
        <v>7</v>
      </c>
      <c r="F44" t="s">
        <v>703</v>
      </c>
      <c r="G44" t="s">
        <v>702</v>
      </c>
    </row>
    <row r="45" spans="1:7" x14ac:dyDescent="0.2">
      <c r="A45">
        <v>44</v>
      </c>
      <c r="B45" t="s">
        <v>651</v>
      </c>
      <c r="C45">
        <v>29</v>
      </c>
      <c r="D45">
        <v>33</v>
      </c>
      <c r="E45">
        <v>10</v>
      </c>
      <c r="F45" t="s">
        <v>701</v>
      </c>
      <c r="G45" t="s">
        <v>700</v>
      </c>
    </row>
    <row r="46" spans="1:7" x14ac:dyDescent="0.2">
      <c r="A46">
        <v>45</v>
      </c>
      <c r="B46" t="s">
        <v>650</v>
      </c>
      <c r="C46">
        <v>49</v>
      </c>
      <c r="D46">
        <v>38</v>
      </c>
      <c r="E46">
        <v>10</v>
      </c>
      <c r="F46" t="s">
        <v>701</v>
      </c>
      <c r="G46" t="s">
        <v>700</v>
      </c>
    </row>
    <row r="47" spans="1:7" x14ac:dyDescent="0.2">
      <c r="A47">
        <v>46</v>
      </c>
      <c r="B47" t="s">
        <v>649</v>
      </c>
      <c r="C47">
        <v>28</v>
      </c>
      <c r="D47">
        <v>25</v>
      </c>
      <c r="E47">
        <v>8</v>
      </c>
      <c r="F47" t="s">
        <v>703</v>
      </c>
      <c r="G47" t="s">
        <v>700</v>
      </c>
    </row>
    <row r="48" spans="1:7" x14ac:dyDescent="0.2">
      <c r="A48">
        <v>47</v>
      </c>
      <c r="B48" t="s">
        <v>648</v>
      </c>
      <c r="C48">
        <v>45</v>
      </c>
      <c r="D48">
        <v>40</v>
      </c>
      <c r="E48">
        <v>6</v>
      </c>
      <c r="F48" t="s">
        <v>701</v>
      </c>
      <c r="G48" t="s">
        <v>700</v>
      </c>
    </row>
    <row r="49" spans="1:7" x14ac:dyDescent="0.2">
      <c r="A49">
        <v>48</v>
      </c>
      <c r="B49" t="s">
        <v>647</v>
      </c>
      <c r="C49">
        <v>26</v>
      </c>
      <c r="D49">
        <v>53</v>
      </c>
      <c r="E49">
        <v>11</v>
      </c>
      <c r="F49" t="s">
        <v>703</v>
      </c>
      <c r="G49" t="s">
        <v>702</v>
      </c>
    </row>
    <row r="50" spans="1:7" x14ac:dyDescent="0.2">
      <c r="A50">
        <v>49</v>
      </c>
      <c r="B50" t="s">
        <v>646</v>
      </c>
      <c r="C50">
        <v>41</v>
      </c>
      <c r="D50">
        <v>50</v>
      </c>
      <c r="E50">
        <v>9</v>
      </c>
      <c r="F50" t="s">
        <v>701</v>
      </c>
      <c r="G50" t="s">
        <v>702</v>
      </c>
    </row>
    <row r="51" spans="1:7" x14ac:dyDescent="0.2">
      <c r="A51">
        <v>50</v>
      </c>
      <c r="B51" t="s">
        <v>645</v>
      </c>
      <c r="C51">
        <v>23</v>
      </c>
      <c r="D51">
        <v>35</v>
      </c>
      <c r="E51">
        <v>12</v>
      </c>
      <c r="F51" t="s">
        <v>701</v>
      </c>
      <c r="G51" t="s">
        <v>702</v>
      </c>
    </row>
    <row r="52" spans="1:7" x14ac:dyDescent="0.2">
      <c r="A52">
        <v>51</v>
      </c>
      <c r="B52" t="s">
        <v>644</v>
      </c>
      <c r="C52">
        <v>31</v>
      </c>
      <c r="D52">
        <v>79</v>
      </c>
      <c r="E52">
        <v>10</v>
      </c>
      <c r="F52" t="s">
        <v>703</v>
      </c>
      <c r="G52" t="s">
        <v>702</v>
      </c>
    </row>
    <row r="53" spans="1:7" x14ac:dyDescent="0.2">
      <c r="A53">
        <v>52</v>
      </c>
      <c r="B53" t="s">
        <v>643</v>
      </c>
      <c r="C53">
        <v>48</v>
      </c>
      <c r="D53">
        <v>45</v>
      </c>
      <c r="E53">
        <v>8</v>
      </c>
      <c r="F53" t="s">
        <v>701</v>
      </c>
      <c r="G53" t="s">
        <v>700</v>
      </c>
    </row>
    <row r="54" spans="1:7" x14ac:dyDescent="0.2">
      <c r="A54">
        <v>53</v>
      </c>
      <c r="B54" t="s">
        <v>642</v>
      </c>
      <c r="C54">
        <v>25</v>
      </c>
      <c r="D54">
        <v>41</v>
      </c>
      <c r="E54">
        <v>9</v>
      </c>
      <c r="F54" t="s">
        <v>701</v>
      </c>
      <c r="G54" t="s">
        <v>702</v>
      </c>
    </row>
    <row r="55" spans="1:7" x14ac:dyDescent="0.2">
      <c r="A55">
        <v>54</v>
      </c>
      <c r="B55" t="s">
        <v>641</v>
      </c>
      <c r="C55">
        <v>44</v>
      </c>
      <c r="D55">
        <v>54</v>
      </c>
      <c r="E55">
        <v>10</v>
      </c>
      <c r="F55" t="s">
        <v>703</v>
      </c>
      <c r="G55" t="s">
        <v>702</v>
      </c>
    </row>
    <row r="56" spans="1:7" x14ac:dyDescent="0.2">
      <c r="A56">
        <v>55</v>
      </c>
      <c r="B56" t="s">
        <v>640</v>
      </c>
      <c r="C56">
        <v>43</v>
      </c>
      <c r="D56">
        <v>29</v>
      </c>
      <c r="E56" t="s">
        <v>21</v>
      </c>
      <c r="F56" t="s">
        <v>701</v>
      </c>
      <c r="G56" t="s">
        <v>21</v>
      </c>
    </row>
    <row r="57" spans="1:7" x14ac:dyDescent="0.2">
      <c r="A57">
        <v>56</v>
      </c>
      <c r="B57" t="s">
        <v>639</v>
      </c>
      <c r="C57">
        <v>34</v>
      </c>
      <c r="D57">
        <v>35</v>
      </c>
      <c r="E57">
        <v>5</v>
      </c>
      <c r="F57" t="s">
        <v>703</v>
      </c>
      <c r="G57" t="s">
        <v>700</v>
      </c>
    </row>
    <row r="58" spans="1:7" x14ac:dyDescent="0.2">
      <c r="A58">
        <v>57</v>
      </c>
      <c r="B58" t="s">
        <v>638</v>
      </c>
      <c r="C58">
        <v>45</v>
      </c>
      <c r="D58">
        <v>42</v>
      </c>
      <c r="E58">
        <v>9</v>
      </c>
      <c r="F58" t="s">
        <v>701</v>
      </c>
      <c r="G58" t="s">
        <v>700</v>
      </c>
    </row>
    <row r="59" spans="1:7" x14ac:dyDescent="0.2">
      <c r="A59">
        <v>58</v>
      </c>
      <c r="B59" t="s">
        <v>637</v>
      </c>
      <c r="C59">
        <v>27</v>
      </c>
      <c r="D59">
        <v>40</v>
      </c>
      <c r="E59">
        <v>13</v>
      </c>
      <c r="F59" t="s">
        <v>703</v>
      </c>
      <c r="G59" t="s">
        <v>702</v>
      </c>
    </row>
    <row r="60" spans="1:7" x14ac:dyDescent="0.2">
      <c r="A60">
        <v>59</v>
      </c>
      <c r="B60" t="s">
        <v>636</v>
      </c>
      <c r="C60">
        <v>28</v>
      </c>
      <c r="D60">
        <v>39</v>
      </c>
      <c r="E60">
        <v>9</v>
      </c>
      <c r="F60" t="s">
        <v>703</v>
      </c>
      <c r="G60" t="s">
        <v>702</v>
      </c>
    </row>
    <row r="61" spans="1:7" x14ac:dyDescent="0.2">
      <c r="A61">
        <v>60</v>
      </c>
      <c r="B61" t="s">
        <v>635</v>
      </c>
      <c r="C61">
        <v>24</v>
      </c>
      <c r="D61">
        <v>43</v>
      </c>
      <c r="E61">
        <v>9</v>
      </c>
      <c r="F61" t="s">
        <v>703</v>
      </c>
      <c r="G61" t="s">
        <v>702</v>
      </c>
    </row>
    <row r="62" spans="1:7" x14ac:dyDescent="0.2">
      <c r="A62">
        <v>61</v>
      </c>
      <c r="B62" t="s">
        <v>634</v>
      </c>
      <c r="C62">
        <v>29</v>
      </c>
      <c r="D62">
        <v>43</v>
      </c>
      <c r="E62">
        <v>12</v>
      </c>
      <c r="F62" t="s">
        <v>701</v>
      </c>
      <c r="G62" t="s">
        <v>702</v>
      </c>
    </row>
    <row r="63" spans="1:7" x14ac:dyDescent="0.2">
      <c r="A63">
        <v>62</v>
      </c>
      <c r="B63" t="s">
        <v>633</v>
      </c>
      <c r="C63">
        <v>36</v>
      </c>
      <c r="D63">
        <v>47</v>
      </c>
      <c r="E63">
        <v>10</v>
      </c>
      <c r="F63" t="s">
        <v>701</v>
      </c>
      <c r="G63" t="s">
        <v>702</v>
      </c>
    </row>
    <row r="64" spans="1:7" x14ac:dyDescent="0.2">
      <c r="A64">
        <v>63</v>
      </c>
      <c r="B64" t="s">
        <v>632</v>
      </c>
      <c r="C64">
        <v>48</v>
      </c>
      <c r="D64">
        <v>50</v>
      </c>
      <c r="E64">
        <v>6</v>
      </c>
      <c r="F64" t="s">
        <v>701</v>
      </c>
      <c r="G64" t="s">
        <v>700</v>
      </c>
    </row>
    <row r="65" spans="1:7" x14ac:dyDescent="0.2">
      <c r="A65">
        <v>64</v>
      </c>
      <c r="B65" t="s">
        <v>631</v>
      </c>
      <c r="C65">
        <v>42</v>
      </c>
      <c r="D65">
        <v>56</v>
      </c>
      <c r="E65">
        <v>13</v>
      </c>
      <c r="F65" t="s">
        <v>703</v>
      </c>
      <c r="G65" t="s">
        <v>702</v>
      </c>
    </row>
    <row r="66" spans="1:7" x14ac:dyDescent="0.2">
      <c r="A66">
        <v>65</v>
      </c>
      <c r="B66" t="s">
        <v>630</v>
      </c>
      <c r="C66">
        <v>41</v>
      </c>
      <c r="D66">
        <v>41</v>
      </c>
      <c r="E66">
        <v>11</v>
      </c>
      <c r="F66" t="s">
        <v>701</v>
      </c>
      <c r="G66" t="s">
        <v>700</v>
      </c>
    </row>
    <row r="67" spans="1:7" x14ac:dyDescent="0.2">
      <c r="A67">
        <v>66</v>
      </c>
      <c r="B67" t="s">
        <v>629</v>
      </c>
      <c r="C67">
        <v>50</v>
      </c>
      <c r="D67">
        <v>36</v>
      </c>
      <c r="E67">
        <v>11</v>
      </c>
      <c r="F67" t="s">
        <v>701</v>
      </c>
      <c r="G67" t="s">
        <v>700</v>
      </c>
    </row>
    <row r="68" spans="1:7" x14ac:dyDescent="0.2">
      <c r="A68">
        <v>67</v>
      </c>
      <c r="B68" t="s">
        <v>628</v>
      </c>
      <c r="C68">
        <v>26</v>
      </c>
      <c r="D68">
        <v>59</v>
      </c>
      <c r="E68">
        <v>11</v>
      </c>
      <c r="F68" t="s">
        <v>703</v>
      </c>
      <c r="G68" t="s">
        <v>702</v>
      </c>
    </row>
    <row r="69" spans="1:7" x14ac:dyDescent="0.2">
      <c r="A69">
        <v>68</v>
      </c>
      <c r="B69" t="s">
        <v>627</v>
      </c>
      <c r="C69">
        <v>24</v>
      </c>
      <c r="D69">
        <v>48</v>
      </c>
      <c r="E69">
        <v>11</v>
      </c>
      <c r="F69" t="s">
        <v>703</v>
      </c>
      <c r="G69" t="s">
        <v>702</v>
      </c>
    </row>
    <row r="70" spans="1:7" x14ac:dyDescent="0.2">
      <c r="A70">
        <v>69</v>
      </c>
      <c r="B70" t="s">
        <v>626</v>
      </c>
      <c r="C70">
        <v>35</v>
      </c>
      <c r="D70">
        <v>49</v>
      </c>
      <c r="E70">
        <v>14</v>
      </c>
      <c r="F70" t="s">
        <v>701</v>
      </c>
      <c r="G70" t="s">
        <v>702</v>
      </c>
    </row>
    <row r="71" spans="1:7" x14ac:dyDescent="0.2">
      <c r="A71">
        <v>70</v>
      </c>
      <c r="B71" t="s">
        <v>625</v>
      </c>
      <c r="C71">
        <v>47</v>
      </c>
      <c r="D71">
        <v>45</v>
      </c>
      <c r="E71">
        <v>12</v>
      </c>
      <c r="F71" t="s">
        <v>701</v>
      </c>
      <c r="G71" t="s">
        <v>700</v>
      </c>
    </row>
    <row r="72" spans="1:7" x14ac:dyDescent="0.2">
      <c r="A72">
        <v>71</v>
      </c>
      <c r="B72" t="s">
        <v>624</v>
      </c>
      <c r="C72">
        <v>22</v>
      </c>
      <c r="D72">
        <v>42</v>
      </c>
      <c r="E72">
        <v>8</v>
      </c>
      <c r="F72" t="s">
        <v>701</v>
      </c>
      <c r="G72" t="s">
        <v>702</v>
      </c>
    </row>
    <row r="73" spans="1:7" x14ac:dyDescent="0.2">
      <c r="A73">
        <v>72</v>
      </c>
      <c r="B73" t="s">
        <v>623</v>
      </c>
      <c r="C73">
        <v>30</v>
      </c>
      <c r="D73">
        <v>35</v>
      </c>
      <c r="E73">
        <v>10</v>
      </c>
      <c r="F73" t="s">
        <v>703</v>
      </c>
      <c r="G73" t="s">
        <v>700</v>
      </c>
    </row>
    <row r="74" spans="1:7" x14ac:dyDescent="0.2">
      <c r="A74">
        <v>73</v>
      </c>
      <c r="B74" t="s">
        <v>622</v>
      </c>
      <c r="C74">
        <v>50</v>
      </c>
      <c r="D74">
        <v>32</v>
      </c>
      <c r="E74">
        <v>4</v>
      </c>
      <c r="F74" t="s">
        <v>701</v>
      </c>
      <c r="G74" t="s">
        <v>700</v>
      </c>
    </row>
    <row r="75" spans="1:7" x14ac:dyDescent="0.2">
      <c r="A75">
        <v>74</v>
      </c>
      <c r="B75" t="s">
        <v>621</v>
      </c>
      <c r="C75">
        <v>27</v>
      </c>
      <c r="D75">
        <v>50</v>
      </c>
      <c r="E75">
        <v>6</v>
      </c>
      <c r="F75" t="s">
        <v>701</v>
      </c>
      <c r="G75" t="s">
        <v>702</v>
      </c>
    </row>
    <row r="76" spans="1:7" x14ac:dyDescent="0.2">
      <c r="A76">
        <v>75</v>
      </c>
      <c r="B76" t="s">
        <v>620</v>
      </c>
      <c r="C76">
        <v>31</v>
      </c>
      <c r="D76">
        <v>43</v>
      </c>
      <c r="E76">
        <v>12</v>
      </c>
      <c r="F76" t="s">
        <v>701</v>
      </c>
      <c r="G76" t="s">
        <v>702</v>
      </c>
    </row>
    <row r="77" spans="1:7" x14ac:dyDescent="0.2">
      <c r="A77">
        <v>76</v>
      </c>
      <c r="B77" t="s">
        <v>619</v>
      </c>
      <c r="C77">
        <v>47</v>
      </c>
      <c r="D77">
        <v>51</v>
      </c>
      <c r="E77">
        <v>15</v>
      </c>
      <c r="F77" t="s">
        <v>701</v>
      </c>
      <c r="G77" t="s">
        <v>700</v>
      </c>
    </row>
    <row r="78" spans="1:7" x14ac:dyDescent="0.2">
      <c r="A78">
        <v>77</v>
      </c>
      <c r="B78" t="s">
        <v>618</v>
      </c>
      <c r="C78">
        <v>41</v>
      </c>
      <c r="D78">
        <v>41</v>
      </c>
      <c r="E78">
        <v>12</v>
      </c>
      <c r="F78" t="s">
        <v>703</v>
      </c>
      <c r="G78" t="s">
        <v>700</v>
      </c>
    </row>
    <row r="79" spans="1:7" x14ac:dyDescent="0.2">
      <c r="A79">
        <v>78</v>
      </c>
      <c r="B79" t="s">
        <v>617</v>
      </c>
      <c r="C79">
        <v>33</v>
      </c>
      <c r="D79">
        <v>36</v>
      </c>
      <c r="E79">
        <v>6</v>
      </c>
      <c r="F79" t="s">
        <v>701</v>
      </c>
      <c r="G79" t="s">
        <v>700</v>
      </c>
    </row>
    <row r="80" spans="1:7" x14ac:dyDescent="0.2">
      <c r="A80">
        <v>79</v>
      </c>
      <c r="B80" t="s">
        <v>616</v>
      </c>
      <c r="C80">
        <v>40</v>
      </c>
      <c r="D80">
        <v>52</v>
      </c>
      <c r="E80">
        <v>12</v>
      </c>
      <c r="F80" t="s">
        <v>703</v>
      </c>
      <c r="G80" t="s">
        <v>702</v>
      </c>
    </row>
    <row r="81" spans="1:7" x14ac:dyDescent="0.2">
      <c r="A81">
        <v>80</v>
      </c>
      <c r="B81" t="s">
        <v>615</v>
      </c>
      <c r="C81">
        <v>38</v>
      </c>
      <c r="D81">
        <v>28</v>
      </c>
      <c r="E81">
        <v>9</v>
      </c>
      <c r="F81" t="s">
        <v>703</v>
      </c>
      <c r="G81" t="s">
        <v>700</v>
      </c>
    </row>
    <row r="82" spans="1:7" x14ac:dyDescent="0.2">
      <c r="A82">
        <v>81</v>
      </c>
      <c r="B82" t="s">
        <v>614</v>
      </c>
      <c r="C82">
        <v>42</v>
      </c>
      <c r="D82">
        <v>41</v>
      </c>
      <c r="E82">
        <v>12</v>
      </c>
      <c r="F82" t="s">
        <v>701</v>
      </c>
      <c r="G82" t="s">
        <v>700</v>
      </c>
    </row>
    <row r="83" spans="1:7" x14ac:dyDescent="0.2">
      <c r="A83">
        <v>82</v>
      </c>
      <c r="B83" t="s">
        <v>613</v>
      </c>
      <c r="C83">
        <v>21</v>
      </c>
      <c r="D83">
        <v>29</v>
      </c>
      <c r="E83">
        <v>7</v>
      </c>
      <c r="F83" t="s">
        <v>701</v>
      </c>
      <c r="G83" t="s">
        <v>702</v>
      </c>
    </row>
    <row r="84" spans="1:7" x14ac:dyDescent="0.2">
      <c r="A84">
        <v>83</v>
      </c>
      <c r="B84" t="s">
        <v>612</v>
      </c>
      <c r="C84">
        <v>32</v>
      </c>
      <c r="D84">
        <v>40</v>
      </c>
      <c r="E84">
        <v>11</v>
      </c>
      <c r="F84" t="s">
        <v>703</v>
      </c>
      <c r="G84" t="s">
        <v>700</v>
      </c>
    </row>
    <row r="85" spans="1:7" x14ac:dyDescent="0.2">
      <c r="A85">
        <v>84</v>
      </c>
      <c r="B85" t="s">
        <v>611</v>
      </c>
      <c r="C85">
        <v>26</v>
      </c>
      <c r="D85">
        <v>48</v>
      </c>
      <c r="E85">
        <v>12</v>
      </c>
      <c r="F85" t="s">
        <v>703</v>
      </c>
      <c r="G85" t="s">
        <v>702</v>
      </c>
    </row>
    <row r="86" spans="1:7" x14ac:dyDescent="0.2">
      <c r="A86">
        <v>85</v>
      </c>
      <c r="B86" t="s">
        <v>610</v>
      </c>
      <c r="C86">
        <v>26</v>
      </c>
      <c r="D86">
        <v>37</v>
      </c>
      <c r="E86">
        <v>11</v>
      </c>
      <c r="F86" t="s">
        <v>703</v>
      </c>
      <c r="G86" t="s">
        <v>702</v>
      </c>
    </row>
    <row r="87" spans="1:7" x14ac:dyDescent="0.2">
      <c r="A87">
        <v>86</v>
      </c>
      <c r="B87" t="s">
        <v>609</v>
      </c>
      <c r="C87">
        <v>42</v>
      </c>
      <c r="D87">
        <v>33</v>
      </c>
      <c r="E87">
        <v>9</v>
      </c>
      <c r="F87" t="s">
        <v>703</v>
      </c>
      <c r="G87" t="s">
        <v>700</v>
      </c>
    </row>
    <row r="88" spans="1:7" x14ac:dyDescent="0.2">
      <c r="A88">
        <v>87</v>
      </c>
      <c r="B88" t="s">
        <v>608</v>
      </c>
      <c r="C88">
        <v>42</v>
      </c>
      <c r="D88">
        <v>52</v>
      </c>
      <c r="E88">
        <v>3</v>
      </c>
      <c r="F88" t="s">
        <v>701</v>
      </c>
      <c r="G88" t="s">
        <v>702</v>
      </c>
    </row>
    <row r="89" spans="1:7" x14ac:dyDescent="0.2">
      <c r="A89">
        <v>88</v>
      </c>
      <c r="B89" t="s">
        <v>607</v>
      </c>
      <c r="C89">
        <v>32</v>
      </c>
      <c r="D89">
        <v>39</v>
      </c>
      <c r="E89">
        <v>12</v>
      </c>
      <c r="F89" t="s">
        <v>701</v>
      </c>
      <c r="G89" t="s">
        <v>700</v>
      </c>
    </row>
    <row r="90" spans="1:7" x14ac:dyDescent="0.2">
      <c r="A90">
        <v>89</v>
      </c>
      <c r="B90" t="s">
        <v>606</v>
      </c>
      <c r="C90">
        <v>29</v>
      </c>
      <c r="D90">
        <v>40</v>
      </c>
      <c r="E90">
        <v>9</v>
      </c>
      <c r="F90" t="s">
        <v>701</v>
      </c>
      <c r="G90" t="s">
        <v>702</v>
      </c>
    </row>
    <row r="91" spans="1:7" x14ac:dyDescent="0.2">
      <c r="A91">
        <v>90</v>
      </c>
      <c r="B91" t="s">
        <v>605</v>
      </c>
      <c r="C91">
        <v>43</v>
      </c>
      <c r="D91">
        <v>54</v>
      </c>
      <c r="E91">
        <v>14</v>
      </c>
      <c r="F91" t="s">
        <v>701</v>
      </c>
      <c r="G91" t="s">
        <v>700</v>
      </c>
    </row>
    <row r="92" spans="1:7" x14ac:dyDescent="0.2">
      <c r="A92">
        <v>91</v>
      </c>
      <c r="B92" t="s">
        <v>604</v>
      </c>
      <c r="C92">
        <v>29</v>
      </c>
      <c r="D92">
        <v>53</v>
      </c>
      <c r="E92">
        <v>11</v>
      </c>
      <c r="F92" t="s">
        <v>701</v>
      </c>
      <c r="G92" t="s">
        <v>702</v>
      </c>
    </row>
    <row r="93" spans="1:7" x14ac:dyDescent="0.2">
      <c r="A93">
        <v>92</v>
      </c>
      <c r="B93" t="s">
        <v>603</v>
      </c>
      <c r="C93">
        <v>24</v>
      </c>
      <c r="D93">
        <v>46</v>
      </c>
      <c r="E93">
        <v>13</v>
      </c>
      <c r="F93" t="s">
        <v>701</v>
      </c>
      <c r="G93" t="s">
        <v>702</v>
      </c>
    </row>
    <row r="94" spans="1:7" x14ac:dyDescent="0.2">
      <c r="A94">
        <v>93</v>
      </c>
      <c r="B94" t="s">
        <v>602</v>
      </c>
      <c r="C94">
        <v>30</v>
      </c>
      <c r="D94">
        <v>41</v>
      </c>
      <c r="E94">
        <v>6</v>
      </c>
      <c r="F94" t="s">
        <v>703</v>
      </c>
      <c r="G94" t="s">
        <v>702</v>
      </c>
    </row>
    <row r="95" spans="1:7" x14ac:dyDescent="0.2">
      <c r="A95">
        <v>94</v>
      </c>
      <c r="B95" t="s">
        <v>601</v>
      </c>
      <c r="C95">
        <v>37</v>
      </c>
      <c r="D95">
        <v>47</v>
      </c>
      <c r="E95">
        <v>11</v>
      </c>
      <c r="F95" t="s">
        <v>703</v>
      </c>
      <c r="G95" t="s">
        <v>700</v>
      </c>
    </row>
    <row r="96" spans="1:7" x14ac:dyDescent="0.2">
      <c r="A96">
        <v>95</v>
      </c>
      <c r="B96" t="s">
        <v>600</v>
      </c>
      <c r="C96">
        <v>30</v>
      </c>
      <c r="D96">
        <v>37</v>
      </c>
      <c r="E96">
        <v>15</v>
      </c>
      <c r="F96" t="s">
        <v>701</v>
      </c>
      <c r="G96" t="s">
        <v>700</v>
      </c>
    </row>
    <row r="97" spans="1:7" x14ac:dyDescent="0.2">
      <c r="A97">
        <v>96</v>
      </c>
      <c r="B97" t="s">
        <v>599</v>
      </c>
      <c r="C97">
        <v>23</v>
      </c>
      <c r="D97">
        <v>40</v>
      </c>
      <c r="E97">
        <v>9</v>
      </c>
      <c r="F97" t="s">
        <v>701</v>
      </c>
      <c r="G97" t="s">
        <v>702</v>
      </c>
    </row>
    <row r="98" spans="1:7" x14ac:dyDescent="0.2">
      <c r="A98">
        <v>97</v>
      </c>
      <c r="B98" t="s">
        <v>598</v>
      </c>
      <c r="C98">
        <v>22</v>
      </c>
      <c r="D98">
        <v>30</v>
      </c>
      <c r="E98">
        <v>7</v>
      </c>
      <c r="F98" t="s">
        <v>701</v>
      </c>
      <c r="G98" t="s">
        <v>702</v>
      </c>
    </row>
    <row r="99" spans="1:7" x14ac:dyDescent="0.2">
      <c r="A99">
        <v>98</v>
      </c>
      <c r="B99" t="s">
        <v>597</v>
      </c>
      <c r="C99">
        <v>29</v>
      </c>
      <c r="D99">
        <v>49</v>
      </c>
      <c r="E99">
        <v>9</v>
      </c>
      <c r="F99" t="s">
        <v>703</v>
      </c>
      <c r="G99" t="s">
        <v>702</v>
      </c>
    </row>
    <row r="100" spans="1:7" x14ac:dyDescent="0.2">
      <c r="A100">
        <v>99</v>
      </c>
      <c r="B100" t="s">
        <v>596</v>
      </c>
      <c r="C100">
        <v>27</v>
      </c>
      <c r="D100">
        <v>53</v>
      </c>
      <c r="E100">
        <v>11</v>
      </c>
      <c r="F100" t="s">
        <v>703</v>
      </c>
      <c r="G100" t="s">
        <v>702</v>
      </c>
    </row>
    <row r="101" spans="1:7" x14ac:dyDescent="0.2">
      <c r="A101">
        <v>100</v>
      </c>
      <c r="B101" t="s">
        <v>595</v>
      </c>
      <c r="C101">
        <v>47</v>
      </c>
      <c r="D101">
        <v>40</v>
      </c>
      <c r="E101">
        <v>7</v>
      </c>
      <c r="F101" t="s">
        <v>703</v>
      </c>
      <c r="G101" t="s">
        <v>700</v>
      </c>
    </row>
    <row r="102" spans="1:7" x14ac:dyDescent="0.2">
      <c r="A102">
        <v>101</v>
      </c>
      <c r="B102" t="s">
        <v>594</v>
      </c>
      <c r="C102">
        <v>40</v>
      </c>
      <c r="D102">
        <v>53</v>
      </c>
      <c r="E102" t="s">
        <v>21</v>
      </c>
      <c r="F102" t="s">
        <v>703</v>
      </c>
      <c r="G102" t="s">
        <v>21</v>
      </c>
    </row>
    <row r="103" spans="1:7" x14ac:dyDescent="0.2">
      <c r="A103">
        <v>102</v>
      </c>
      <c r="B103" t="s">
        <v>593</v>
      </c>
      <c r="C103">
        <v>21</v>
      </c>
      <c r="D103">
        <v>59</v>
      </c>
      <c r="E103">
        <v>13</v>
      </c>
      <c r="F103" t="s">
        <v>701</v>
      </c>
      <c r="G103" t="s">
        <v>702</v>
      </c>
    </row>
    <row r="104" spans="1:7" x14ac:dyDescent="0.2">
      <c r="A104">
        <v>103</v>
      </c>
      <c r="B104" t="s">
        <v>592</v>
      </c>
      <c r="C104">
        <v>41</v>
      </c>
      <c r="D104">
        <v>49</v>
      </c>
      <c r="E104">
        <v>9</v>
      </c>
      <c r="F104" t="s">
        <v>701</v>
      </c>
      <c r="G104" t="s">
        <v>700</v>
      </c>
    </row>
    <row r="105" spans="1:7" x14ac:dyDescent="0.2">
      <c r="A105">
        <v>104</v>
      </c>
      <c r="B105" t="s">
        <v>591</v>
      </c>
      <c r="C105">
        <v>34</v>
      </c>
      <c r="D105">
        <v>57</v>
      </c>
      <c r="E105">
        <v>14</v>
      </c>
      <c r="F105" t="s">
        <v>701</v>
      </c>
      <c r="G105" t="s">
        <v>702</v>
      </c>
    </row>
    <row r="106" spans="1:7" x14ac:dyDescent="0.2">
      <c r="A106">
        <v>105</v>
      </c>
      <c r="B106" t="s">
        <v>590</v>
      </c>
      <c r="C106">
        <v>44</v>
      </c>
      <c r="D106">
        <v>45</v>
      </c>
      <c r="E106">
        <v>8</v>
      </c>
      <c r="F106" t="s">
        <v>703</v>
      </c>
      <c r="G106" t="s">
        <v>700</v>
      </c>
    </row>
    <row r="107" spans="1:7" x14ac:dyDescent="0.2">
      <c r="A107">
        <v>106</v>
      </c>
      <c r="B107" t="s">
        <v>589</v>
      </c>
      <c r="C107">
        <v>38</v>
      </c>
      <c r="D107">
        <v>30</v>
      </c>
      <c r="E107">
        <v>12</v>
      </c>
      <c r="F107" t="s">
        <v>703</v>
      </c>
      <c r="G107" t="s">
        <v>700</v>
      </c>
    </row>
    <row r="108" spans="1:7" x14ac:dyDescent="0.2">
      <c r="A108">
        <v>107</v>
      </c>
      <c r="B108" t="s">
        <v>588</v>
      </c>
      <c r="C108">
        <v>26</v>
      </c>
      <c r="D108">
        <v>58</v>
      </c>
      <c r="E108">
        <v>14</v>
      </c>
      <c r="F108" t="s">
        <v>703</v>
      </c>
      <c r="G108" t="s">
        <v>702</v>
      </c>
    </row>
    <row r="109" spans="1:7" x14ac:dyDescent="0.2">
      <c r="A109">
        <v>108</v>
      </c>
      <c r="B109" t="s">
        <v>587</v>
      </c>
      <c r="C109">
        <v>35</v>
      </c>
      <c r="D109">
        <v>37</v>
      </c>
      <c r="E109">
        <v>13</v>
      </c>
      <c r="F109" t="s">
        <v>701</v>
      </c>
      <c r="G109" t="s">
        <v>700</v>
      </c>
    </row>
    <row r="110" spans="1:7" x14ac:dyDescent="0.2">
      <c r="A110">
        <v>109</v>
      </c>
      <c r="B110" t="s">
        <v>586</v>
      </c>
      <c r="C110">
        <v>36</v>
      </c>
      <c r="D110">
        <v>40</v>
      </c>
      <c r="E110">
        <v>13</v>
      </c>
      <c r="F110" t="s">
        <v>703</v>
      </c>
      <c r="G110" t="s">
        <v>700</v>
      </c>
    </row>
    <row r="111" spans="1:7" x14ac:dyDescent="0.2">
      <c r="A111">
        <v>110</v>
      </c>
      <c r="B111" t="s">
        <v>585</v>
      </c>
      <c r="C111">
        <v>44</v>
      </c>
      <c r="D111">
        <v>31</v>
      </c>
      <c r="E111">
        <v>9</v>
      </c>
      <c r="F111" t="s">
        <v>701</v>
      </c>
      <c r="G111" t="s">
        <v>700</v>
      </c>
    </row>
    <row r="112" spans="1:7" x14ac:dyDescent="0.2">
      <c r="A112">
        <v>111</v>
      </c>
      <c r="B112" t="s">
        <v>584</v>
      </c>
      <c r="C112">
        <v>35</v>
      </c>
      <c r="D112">
        <v>36</v>
      </c>
      <c r="E112">
        <v>7</v>
      </c>
      <c r="F112" t="s">
        <v>701</v>
      </c>
      <c r="G112" t="s">
        <v>700</v>
      </c>
    </row>
    <row r="113" spans="1:7" x14ac:dyDescent="0.2">
      <c r="A113">
        <v>112</v>
      </c>
      <c r="B113" t="s">
        <v>583</v>
      </c>
      <c r="C113">
        <v>39</v>
      </c>
      <c r="D113">
        <v>39</v>
      </c>
      <c r="E113">
        <v>10</v>
      </c>
      <c r="F113" t="s">
        <v>701</v>
      </c>
      <c r="G113" t="s">
        <v>700</v>
      </c>
    </row>
    <row r="114" spans="1:7" x14ac:dyDescent="0.2">
      <c r="A114">
        <v>113</v>
      </c>
      <c r="B114" t="s">
        <v>582</v>
      </c>
      <c r="C114">
        <v>43</v>
      </c>
      <c r="D114">
        <v>37</v>
      </c>
      <c r="E114">
        <v>5</v>
      </c>
      <c r="F114" t="s">
        <v>703</v>
      </c>
      <c r="G114" t="s">
        <v>700</v>
      </c>
    </row>
    <row r="115" spans="1:7" x14ac:dyDescent="0.2">
      <c r="A115">
        <v>114</v>
      </c>
      <c r="B115" t="s">
        <v>581</v>
      </c>
      <c r="C115">
        <v>44</v>
      </c>
      <c r="D115">
        <v>43</v>
      </c>
      <c r="E115">
        <v>7</v>
      </c>
      <c r="F115" t="s">
        <v>703</v>
      </c>
      <c r="G115" t="s">
        <v>700</v>
      </c>
    </row>
    <row r="116" spans="1:7" x14ac:dyDescent="0.2">
      <c r="A116">
        <v>115</v>
      </c>
      <c r="B116" t="s">
        <v>580</v>
      </c>
      <c r="C116">
        <v>27</v>
      </c>
      <c r="D116">
        <v>40</v>
      </c>
      <c r="E116">
        <v>7</v>
      </c>
      <c r="F116" t="s">
        <v>703</v>
      </c>
      <c r="G116" t="s">
        <v>702</v>
      </c>
    </row>
    <row r="117" spans="1:7" x14ac:dyDescent="0.2">
      <c r="A117">
        <v>116</v>
      </c>
      <c r="B117" t="s">
        <v>579</v>
      </c>
      <c r="C117">
        <v>47</v>
      </c>
      <c r="D117">
        <v>58</v>
      </c>
      <c r="E117">
        <v>12</v>
      </c>
      <c r="F117" t="s">
        <v>703</v>
      </c>
      <c r="G117" t="s">
        <v>700</v>
      </c>
    </row>
    <row r="118" spans="1:7" x14ac:dyDescent="0.2">
      <c r="A118">
        <v>117</v>
      </c>
      <c r="B118" t="s">
        <v>578</v>
      </c>
      <c r="C118">
        <v>32</v>
      </c>
      <c r="D118">
        <v>36</v>
      </c>
      <c r="E118">
        <v>11</v>
      </c>
      <c r="F118" t="s">
        <v>701</v>
      </c>
      <c r="G118" t="s">
        <v>700</v>
      </c>
    </row>
    <row r="119" spans="1:7" x14ac:dyDescent="0.2">
      <c r="A119">
        <v>118</v>
      </c>
      <c r="B119" t="s">
        <v>577</v>
      </c>
      <c r="C119">
        <v>45</v>
      </c>
      <c r="D119">
        <v>32</v>
      </c>
      <c r="E119">
        <v>10</v>
      </c>
      <c r="F119" t="s">
        <v>701</v>
      </c>
      <c r="G119" t="s">
        <v>700</v>
      </c>
    </row>
    <row r="120" spans="1:7" x14ac:dyDescent="0.2">
      <c r="A120">
        <v>119</v>
      </c>
      <c r="B120" t="s">
        <v>576</v>
      </c>
      <c r="C120">
        <v>32</v>
      </c>
      <c r="D120">
        <v>33</v>
      </c>
      <c r="E120">
        <v>9</v>
      </c>
      <c r="F120" t="s">
        <v>703</v>
      </c>
      <c r="G120" t="s">
        <v>700</v>
      </c>
    </row>
    <row r="121" spans="1:7" x14ac:dyDescent="0.2">
      <c r="A121">
        <v>120</v>
      </c>
      <c r="B121" t="s">
        <v>575</v>
      </c>
      <c r="C121">
        <v>21</v>
      </c>
      <c r="D121">
        <v>50</v>
      </c>
      <c r="E121">
        <v>11</v>
      </c>
      <c r="F121" t="s">
        <v>701</v>
      </c>
      <c r="G121" t="s">
        <v>702</v>
      </c>
    </row>
    <row r="122" spans="1:7" x14ac:dyDescent="0.2">
      <c r="A122">
        <v>121</v>
      </c>
      <c r="B122" t="s">
        <v>574</v>
      </c>
      <c r="C122">
        <v>48</v>
      </c>
      <c r="D122">
        <v>31</v>
      </c>
      <c r="E122">
        <v>7</v>
      </c>
      <c r="F122" t="s">
        <v>701</v>
      </c>
      <c r="G122" t="s">
        <v>700</v>
      </c>
    </row>
    <row r="123" spans="1:7" x14ac:dyDescent="0.2">
      <c r="A123">
        <v>122</v>
      </c>
      <c r="B123" t="s">
        <v>573</v>
      </c>
      <c r="C123">
        <v>43</v>
      </c>
      <c r="D123">
        <v>50</v>
      </c>
      <c r="E123">
        <v>14</v>
      </c>
      <c r="F123" t="s">
        <v>701</v>
      </c>
      <c r="G123" t="s">
        <v>700</v>
      </c>
    </row>
    <row r="124" spans="1:7" x14ac:dyDescent="0.2">
      <c r="A124">
        <v>123</v>
      </c>
      <c r="B124" t="s">
        <v>572</v>
      </c>
      <c r="C124">
        <v>22</v>
      </c>
      <c r="D124">
        <v>48</v>
      </c>
      <c r="E124">
        <v>8</v>
      </c>
      <c r="F124" t="s">
        <v>701</v>
      </c>
      <c r="G124" t="s">
        <v>702</v>
      </c>
    </row>
    <row r="125" spans="1:7" x14ac:dyDescent="0.2">
      <c r="A125">
        <v>124</v>
      </c>
      <c r="B125" t="s">
        <v>571</v>
      </c>
      <c r="C125">
        <v>24</v>
      </c>
      <c r="D125">
        <v>40</v>
      </c>
      <c r="E125">
        <v>14</v>
      </c>
      <c r="F125" t="s">
        <v>703</v>
      </c>
      <c r="G125" t="s">
        <v>702</v>
      </c>
    </row>
    <row r="126" spans="1:7" x14ac:dyDescent="0.2">
      <c r="A126">
        <v>125</v>
      </c>
      <c r="B126" t="s">
        <v>570</v>
      </c>
      <c r="C126">
        <v>28</v>
      </c>
      <c r="D126">
        <v>29</v>
      </c>
      <c r="E126">
        <v>10</v>
      </c>
      <c r="F126" t="s">
        <v>701</v>
      </c>
      <c r="G126" t="s">
        <v>700</v>
      </c>
    </row>
    <row r="127" spans="1:7" x14ac:dyDescent="0.2">
      <c r="A127">
        <v>126</v>
      </c>
      <c r="B127" t="s">
        <v>569</v>
      </c>
      <c r="C127">
        <v>40</v>
      </c>
      <c r="D127">
        <v>36</v>
      </c>
      <c r="E127">
        <v>8</v>
      </c>
      <c r="F127" t="s">
        <v>703</v>
      </c>
      <c r="G127" t="s">
        <v>700</v>
      </c>
    </row>
    <row r="128" spans="1:7" x14ac:dyDescent="0.2">
      <c r="A128">
        <v>127</v>
      </c>
      <c r="B128" t="s">
        <v>568</v>
      </c>
      <c r="C128">
        <v>29</v>
      </c>
      <c r="D128">
        <v>53</v>
      </c>
      <c r="E128">
        <v>13</v>
      </c>
      <c r="F128" t="s">
        <v>701</v>
      </c>
      <c r="G128" t="s">
        <v>702</v>
      </c>
    </row>
    <row r="129" spans="1:7" x14ac:dyDescent="0.2">
      <c r="A129">
        <v>128</v>
      </c>
      <c r="B129" t="s">
        <v>567</v>
      </c>
      <c r="C129">
        <v>34</v>
      </c>
      <c r="D129">
        <v>29</v>
      </c>
      <c r="E129">
        <v>14</v>
      </c>
      <c r="F129" t="s">
        <v>703</v>
      </c>
      <c r="G129" t="s">
        <v>700</v>
      </c>
    </row>
    <row r="130" spans="1:7" x14ac:dyDescent="0.2">
      <c r="A130">
        <v>129</v>
      </c>
      <c r="B130" t="s">
        <v>566</v>
      </c>
      <c r="C130">
        <v>30</v>
      </c>
      <c r="D130">
        <v>54</v>
      </c>
      <c r="E130" t="s">
        <v>21</v>
      </c>
      <c r="F130" t="s">
        <v>703</v>
      </c>
      <c r="G130" t="s">
        <v>21</v>
      </c>
    </row>
    <row r="131" spans="1:7" x14ac:dyDescent="0.2">
      <c r="A131">
        <v>130</v>
      </c>
      <c r="B131" t="s">
        <v>565</v>
      </c>
      <c r="C131">
        <v>24</v>
      </c>
      <c r="D131">
        <v>60</v>
      </c>
      <c r="E131" t="s">
        <v>21</v>
      </c>
      <c r="F131" t="s">
        <v>701</v>
      </c>
      <c r="G131" t="s">
        <v>21</v>
      </c>
    </row>
    <row r="132" spans="1:7" x14ac:dyDescent="0.2">
      <c r="A132">
        <v>131</v>
      </c>
      <c r="B132" t="s">
        <v>564</v>
      </c>
      <c r="C132">
        <v>36</v>
      </c>
      <c r="D132">
        <v>42</v>
      </c>
      <c r="E132">
        <v>10</v>
      </c>
      <c r="F132" t="s">
        <v>703</v>
      </c>
      <c r="G132" t="s">
        <v>700</v>
      </c>
    </row>
    <row r="133" spans="1:7" x14ac:dyDescent="0.2">
      <c r="A133">
        <v>132</v>
      </c>
      <c r="B133" t="s">
        <v>563</v>
      </c>
      <c r="C133">
        <v>43</v>
      </c>
      <c r="D133">
        <v>53</v>
      </c>
      <c r="E133">
        <v>11</v>
      </c>
      <c r="F133" t="s">
        <v>701</v>
      </c>
      <c r="G133" t="s">
        <v>700</v>
      </c>
    </row>
    <row r="134" spans="1:7" x14ac:dyDescent="0.2">
      <c r="A134">
        <v>133</v>
      </c>
      <c r="B134" t="s">
        <v>562</v>
      </c>
      <c r="C134">
        <v>46</v>
      </c>
      <c r="D134">
        <v>28</v>
      </c>
      <c r="E134">
        <v>12</v>
      </c>
      <c r="F134" t="s">
        <v>703</v>
      </c>
      <c r="G134" t="s">
        <v>700</v>
      </c>
    </row>
    <row r="135" spans="1:7" x14ac:dyDescent="0.2">
      <c r="A135">
        <v>134</v>
      </c>
      <c r="B135" t="s">
        <v>561</v>
      </c>
      <c r="C135">
        <v>37</v>
      </c>
      <c r="D135">
        <v>32</v>
      </c>
      <c r="E135">
        <v>11</v>
      </c>
      <c r="F135" t="s">
        <v>701</v>
      </c>
      <c r="G135" t="s">
        <v>700</v>
      </c>
    </row>
    <row r="136" spans="1:7" x14ac:dyDescent="0.2">
      <c r="A136">
        <v>135</v>
      </c>
      <c r="B136" t="s">
        <v>560</v>
      </c>
      <c r="C136">
        <v>32</v>
      </c>
      <c r="D136">
        <v>35</v>
      </c>
      <c r="E136">
        <v>15</v>
      </c>
      <c r="F136" t="s">
        <v>701</v>
      </c>
      <c r="G136" t="s">
        <v>700</v>
      </c>
    </row>
    <row r="137" spans="1:7" x14ac:dyDescent="0.2">
      <c r="A137">
        <v>136</v>
      </c>
      <c r="B137" t="s">
        <v>559</v>
      </c>
      <c r="C137">
        <v>35</v>
      </c>
      <c r="D137">
        <v>48</v>
      </c>
      <c r="E137">
        <v>9</v>
      </c>
      <c r="F137" t="s">
        <v>701</v>
      </c>
      <c r="G137" t="s">
        <v>702</v>
      </c>
    </row>
    <row r="138" spans="1:7" x14ac:dyDescent="0.2">
      <c r="A138">
        <v>137</v>
      </c>
      <c r="B138" t="s">
        <v>558</v>
      </c>
      <c r="C138">
        <v>30</v>
      </c>
      <c r="D138">
        <v>53</v>
      </c>
      <c r="E138">
        <v>12</v>
      </c>
      <c r="F138" t="s">
        <v>703</v>
      </c>
      <c r="G138" t="s">
        <v>702</v>
      </c>
    </row>
    <row r="139" spans="1:7" x14ac:dyDescent="0.2">
      <c r="A139">
        <v>138</v>
      </c>
      <c r="B139" t="s">
        <v>557</v>
      </c>
      <c r="C139">
        <v>25</v>
      </c>
      <c r="D139">
        <v>30</v>
      </c>
      <c r="E139">
        <v>5</v>
      </c>
      <c r="F139" t="s">
        <v>701</v>
      </c>
      <c r="G139" t="s">
        <v>702</v>
      </c>
    </row>
    <row r="140" spans="1:7" x14ac:dyDescent="0.2">
      <c r="A140">
        <v>139</v>
      </c>
      <c r="B140" t="s">
        <v>556</v>
      </c>
      <c r="C140">
        <v>30</v>
      </c>
      <c r="D140">
        <v>31</v>
      </c>
      <c r="E140">
        <v>4</v>
      </c>
      <c r="F140" t="s">
        <v>701</v>
      </c>
      <c r="G140" t="s">
        <v>700</v>
      </c>
    </row>
    <row r="141" spans="1:7" x14ac:dyDescent="0.2">
      <c r="A141">
        <v>140</v>
      </c>
      <c r="B141" t="s">
        <v>555</v>
      </c>
      <c r="C141">
        <v>39</v>
      </c>
      <c r="D141">
        <v>29</v>
      </c>
      <c r="E141">
        <v>4</v>
      </c>
      <c r="F141" t="s">
        <v>701</v>
      </c>
      <c r="G141" t="s">
        <v>700</v>
      </c>
    </row>
    <row r="142" spans="1:7" x14ac:dyDescent="0.2">
      <c r="A142">
        <v>141</v>
      </c>
      <c r="B142" t="s">
        <v>554</v>
      </c>
      <c r="C142">
        <v>39</v>
      </c>
      <c r="D142">
        <v>48</v>
      </c>
      <c r="E142">
        <v>9</v>
      </c>
      <c r="F142" t="s">
        <v>701</v>
      </c>
      <c r="G142" t="s">
        <v>702</v>
      </c>
    </row>
    <row r="143" spans="1:7" x14ac:dyDescent="0.2">
      <c r="A143">
        <v>142</v>
      </c>
      <c r="B143" t="s">
        <v>553</v>
      </c>
      <c r="C143">
        <v>27</v>
      </c>
      <c r="D143">
        <v>55</v>
      </c>
      <c r="E143">
        <v>14</v>
      </c>
      <c r="F143" t="s">
        <v>701</v>
      </c>
      <c r="G143" t="s">
        <v>702</v>
      </c>
    </row>
    <row r="144" spans="1:7" x14ac:dyDescent="0.2">
      <c r="A144">
        <v>143</v>
      </c>
      <c r="B144" t="s">
        <v>552</v>
      </c>
      <c r="C144">
        <v>22</v>
      </c>
      <c r="D144">
        <v>26</v>
      </c>
      <c r="E144">
        <v>11</v>
      </c>
      <c r="F144" t="s">
        <v>703</v>
      </c>
      <c r="G144" t="s">
        <v>700</v>
      </c>
    </row>
    <row r="145" spans="1:7" x14ac:dyDescent="0.2">
      <c r="A145">
        <v>144</v>
      </c>
      <c r="B145" t="s">
        <v>551</v>
      </c>
      <c r="C145">
        <v>31</v>
      </c>
      <c r="D145">
        <v>43</v>
      </c>
      <c r="E145">
        <v>8</v>
      </c>
      <c r="F145" t="s">
        <v>703</v>
      </c>
      <c r="G145" t="s">
        <v>702</v>
      </c>
    </row>
    <row r="146" spans="1:7" x14ac:dyDescent="0.2">
      <c r="A146">
        <v>145</v>
      </c>
      <c r="B146" t="s">
        <v>550</v>
      </c>
      <c r="C146">
        <v>29</v>
      </c>
      <c r="D146">
        <v>59</v>
      </c>
      <c r="E146">
        <v>8</v>
      </c>
      <c r="F146" t="s">
        <v>701</v>
      </c>
      <c r="G146" t="s">
        <v>702</v>
      </c>
    </row>
    <row r="147" spans="1:7" x14ac:dyDescent="0.2">
      <c r="A147">
        <v>146</v>
      </c>
      <c r="B147" t="s">
        <v>549</v>
      </c>
      <c r="C147">
        <v>49</v>
      </c>
      <c r="D147">
        <v>45</v>
      </c>
      <c r="E147">
        <v>7</v>
      </c>
      <c r="F147" t="s">
        <v>701</v>
      </c>
      <c r="G147" t="s">
        <v>700</v>
      </c>
    </row>
    <row r="148" spans="1:7" x14ac:dyDescent="0.2">
      <c r="A148">
        <v>147</v>
      </c>
      <c r="B148" t="s">
        <v>548</v>
      </c>
      <c r="C148">
        <v>44</v>
      </c>
      <c r="D148">
        <v>59</v>
      </c>
      <c r="E148">
        <v>14</v>
      </c>
      <c r="F148" t="s">
        <v>703</v>
      </c>
      <c r="G148" t="s">
        <v>702</v>
      </c>
    </row>
    <row r="149" spans="1:7" x14ac:dyDescent="0.2">
      <c r="A149">
        <v>148</v>
      </c>
      <c r="B149" t="s">
        <v>547</v>
      </c>
      <c r="C149">
        <v>24</v>
      </c>
      <c r="D149">
        <v>49</v>
      </c>
      <c r="E149">
        <v>6</v>
      </c>
      <c r="F149" t="s">
        <v>703</v>
      </c>
      <c r="G149" t="s">
        <v>702</v>
      </c>
    </row>
    <row r="150" spans="1:7" x14ac:dyDescent="0.2">
      <c r="A150">
        <v>149</v>
      </c>
      <c r="B150" t="s">
        <v>546</v>
      </c>
      <c r="C150">
        <v>50</v>
      </c>
      <c r="D150">
        <v>43</v>
      </c>
      <c r="E150">
        <v>11</v>
      </c>
      <c r="F150" t="s">
        <v>701</v>
      </c>
      <c r="G150" t="s">
        <v>700</v>
      </c>
    </row>
    <row r="151" spans="1:7" x14ac:dyDescent="0.2">
      <c r="A151">
        <v>150</v>
      </c>
      <c r="B151" t="s">
        <v>545</v>
      </c>
      <c r="C151">
        <v>44</v>
      </c>
      <c r="D151">
        <v>40</v>
      </c>
      <c r="E151">
        <v>6</v>
      </c>
      <c r="F151" t="s">
        <v>703</v>
      </c>
      <c r="G151" t="s">
        <v>700</v>
      </c>
    </row>
    <row r="152" spans="1:7" x14ac:dyDescent="0.2">
      <c r="A152">
        <v>151</v>
      </c>
      <c r="B152" t="s">
        <v>544</v>
      </c>
      <c r="C152">
        <v>21</v>
      </c>
      <c r="D152">
        <v>46</v>
      </c>
      <c r="E152">
        <v>9</v>
      </c>
      <c r="F152" t="s">
        <v>701</v>
      </c>
      <c r="G152" t="s">
        <v>702</v>
      </c>
    </row>
    <row r="153" spans="1:7" x14ac:dyDescent="0.2">
      <c r="A153">
        <v>152</v>
      </c>
      <c r="B153" t="s">
        <v>543</v>
      </c>
      <c r="C153">
        <v>33</v>
      </c>
      <c r="D153">
        <v>51</v>
      </c>
      <c r="E153">
        <v>9</v>
      </c>
      <c r="F153" t="s">
        <v>701</v>
      </c>
      <c r="G153" t="s">
        <v>702</v>
      </c>
    </row>
    <row r="154" spans="1:7" x14ac:dyDescent="0.2">
      <c r="A154">
        <v>153</v>
      </c>
      <c r="B154" t="s">
        <v>542</v>
      </c>
      <c r="C154">
        <v>29</v>
      </c>
      <c r="D154">
        <v>54</v>
      </c>
      <c r="E154">
        <v>9</v>
      </c>
      <c r="F154" t="s">
        <v>701</v>
      </c>
      <c r="G154" t="s">
        <v>702</v>
      </c>
    </row>
    <row r="155" spans="1:7" x14ac:dyDescent="0.2">
      <c r="A155">
        <v>154</v>
      </c>
      <c r="B155" t="s">
        <v>541</v>
      </c>
      <c r="C155">
        <v>31</v>
      </c>
      <c r="D155">
        <v>47</v>
      </c>
      <c r="E155">
        <v>9</v>
      </c>
      <c r="F155" t="s">
        <v>701</v>
      </c>
      <c r="G155" t="s">
        <v>702</v>
      </c>
    </row>
    <row r="156" spans="1:7" x14ac:dyDescent="0.2">
      <c r="A156">
        <v>155</v>
      </c>
      <c r="B156" t="s">
        <v>540</v>
      </c>
      <c r="C156">
        <v>31</v>
      </c>
      <c r="D156">
        <v>45</v>
      </c>
      <c r="E156">
        <v>9</v>
      </c>
      <c r="F156" t="s">
        <v>701</v>
      </c>
      <c r="G156" t="s">
        <v>702</v>
      </c>
    </row>
    <row r="157" spans="1:7" x14ac:dyDescent="0.2">
      <c r="A157">
        <v>156</v>
      </c>
      <c r="B157" t="s">
        <v>539</v>
      </c>
      <c r="C157">
        <v>44</v>
      </c>
      <c r="D157">
        <v>45</v>
      </c>
      <c r="E157">
        <v>10</v>
      </c>
      <c r="F157" t="s">
        <v>701</v>
      </c>
      <c r="G157" t="s">
        <v>700</v>
      </c>
    </row>
    <row r="158" spans="1:7" x14ac:dyDescent="0.2">
      <c r="A158">
        <v>157</v>
      </c>
      <c r="B158" t="s">
        <v>538</v>
      </c>
      <c r="C158">
        <v>20</v>
      </c>
      <c r="D158">
        <v>49</v>
      </c>
      <c r="E158">
        <v>12</v>
      </c>
      <c r="F158" t="s">
        <v>703</v>
      </c>
      <c r="G158" t="s">
        <v>702</v>
      </c>
    </row>
    <row r="159" spans="1:7" x14ac:dyDescent="0.2">
      <c r="A159">
        <v>158</v>
      </c>
      <c r="B159" t="s">
        <v>537</v>
      </c>
      <c r="C159">
        <v>33</v>
      </c>
      <c r="D159">
        <v>54</v>
      </c>
      <c r="E159">
        <v>8</v>
      </c>
      <c r="F159" t="s">
        <v>701</v>
      </c>
      <c r="G159" t="s">
        <v>702</v>
      </c>
    </row>
    <row r="160" spans="1:7" x14ac:dyDescent="0.2">
      <c r="A160">
        <v>159</v>
      </c>
      <c r="B160" t="s">
        <v>536</v>
      </c>
      <c r="C160">
        <v>30</v>
      </c>
      <c r="D160">
        <v>57</v>
      </c>
      <c r="E160">
        <v>15</v>
      </c>
      <c r="F160" t="s">
        <v>703</v>
      </c>
      <c r="G160" t="s">
        <v>702</v>
      </c>
    </row>
    <row r="161" spans="1:7" x14ac:dyDescent="0.2">
      <c r="A161">
        <v>160</v>
      </c>
      <c r="B161" t="s">
        <v>535</v>
      </c>
      <c r="C161">
        <v>49</v>
      </c>
      <c r="D161">
        <v>38</v>
      </c>
      <c r="E161">
        <v>8</v>
      </c>
      <c r="F161" t="s">
        <v>701</v>
      </c>
      <c r="G161" t="s">
        <v>700</v>
      </c>
    </row>
    <row r="162" spans="1:7" x14ac:dyDescent="0.2">
      <c r="A162">
        <v>161</v>
      </c>
      <c r="B162" t="s">
        <v>534</v>
      </c>
      <c r="C162">
        <v>44</v>
      </c>
      <c r="D162">
        <v>43</v>
      </c>
      <c r="E162">
        <v>14</v>
      </c>
      <c r="F162" t="s">
        <v>703</v>
      </c>
      <c r="G162" t="s">
        <v>700</v>
      </c>
    </row>
    <row r="163" spans="1:7" x14ac:dyDescent="0.2">
      <c r="A163">
        <v>162</v>
      </c>
      <c r="B163" t="s">
        <v>533</v>
      </c>
      <c r="C163">
        <v>22</v>
      </c>
      <c r="D163">
        <v>46</v>
      </c>
      <c r="E163">
        <v>10</v>
      </c>
      <c r="F163" t="s">
        <v>701</v>
      </c>
      <c r="G163" t="s">
        <v>702</v>
      </c>
    </row>
    <row r="164" spans="1:7" x14ac:dyDescent="0.2">
      <c r="A164">
        <v>163</v>
      </c>
      <c r="B164" t="s">
        <v>532</v>
      </c>
      <c r="C164">
        <v>30</v>
      </c>
      <c r="D164">
        <v>50</v>
      </c>
      <c r="E164">
        <v>15</v>
      </c>
      <c r="F164" t="s">
        <v>703</v>
      </c>
      <c r="G164" t="s">
        <v>702</v>
      </c>
    </row>
    <row r="165" spans="1:7" x14ac:dyDescent="0.2">
      <c r="A165">
        <v>164</v>
      </c>
      <c r="B165" t="s">
        <v>531</v>
      </c>
      <c r="C165">
        <v>29</v>
      </c>
      <c r="D165">
        <v>40</v>
      </c>
      <c r="E165">
        <v>8</v>
      </c>
      <c r="F165" t="s">
        <v>703</v>
      </c>
      <c r="G165" t="s">
        <v>702</v>
      </c>
    </row>
    <row r="166" spans="1:7" x14ac:dyDescent="0.2">
      <c r="A166">
        <v>165</v>
      </c>
      <c r="B166" t="s">
        <v>530</v>
      </c>
      <c r="C166">
        <v>40</v>
      </c>
      <c r="D166">
        <v>39</v>
      </c>
      <c r="E166">
        <v>5</v>
      </c>
      <c r="F166" t="s">
        <v>701</v>
      </c>
      <c r="G166" t="s">
        <v>700</v>
      </c>
    </row>
    <row r="167" spans="1:7" x14ac:dyDescent="0.2">
      <c r="A167">
        <v>166</v>
      </c>
      <c r="B167" t="s">
        <v>529</v>
      </c>
      <c r="C167">
        <v>50</v>
      </c>
      <c r="D167">
        <v>60</v>
      </c>
      <c r="E167">
        <v>9</v>
      </c>
      <c r="F167" t="s">
        <v>703</v>
      </c>
      <c r="G167" t="s">
        <v>702</v>
      </c>
    </row>
    <row r="168" spans="1:7" x14ac:dyDescent="0.2">
      <c r="A168">
        <v>167</v>
      </c>
      <c r="B168" t="s">
        <v>528</v>
      </c>
      <c r="C168">
        <v>20</v>
      </c>
      <c r="D168">
        <v>47</v>
      </c>
      <c r="E168">
        <v>16</v>
      </c>
      <c r="F168" t="s">
        <v>703</v>
      </c>
      <c r="G168" t="s">
        <v>702</v>
      </c>
    </row>
    <row r="169" spans="1:7" x14ac:dyDescent="0.2">
      <c r="A169">
        <v>168</v>
      </c>
      <c r="B169" t="s">
        <v>527</v>
      </c>
      <c r="C169">
        <v>28</v>
      </c>
      <c r="D169">
        <v>35</v>
      </c>
      <c r="E169">
        <v>12</v>
      </c>
      <c r="F169" t="s">
        <v>703</v>
      </c>
      <c r="G169" t="s">
        <v>700</v>
      </c>
    </row>
    <row r="170" spans="1:7" x14ac:dyDescent="0.2">
      <c r="A170">
        <v>169</v>
      </c>
      <c r="B170" t="s">
        <v>526</v>
      </c>
      <c r="C170">
        <v>33</v>
      </c>
      <c r="D170">
        <v>45</v>
      </c>
      <c r="E170">
        <v>13</v>
      </c>
      <c r="F170" t="s">
        <v>703</v>
      </c>
      <c r="G170" t="s">
        <v>700</v>
      </c>
    </row>
    <row r="171" spans="1:7" x14ac:dyDescent="0.2">
      <c r="A171">
        <v>170</v>
      </c>
      <c r="B171" t="s">
        <v>525</v>
      </c>
      <c r="C171">
        <v>44</v>
      </c>
      <c r="D171">
        <v>54</v>
      </c>
      <c r="E171">
        <v>8</v>
      </c>
      <c r="F171" t="s">
        <v>701</v>
      </c>
      <c r="G171" t="s">
        <v>702</v>
      </c>
    </row>
    <row r="172" spans="1:7" x14ac:dyDescent="0.2">
      <c r="A172">
        <v>171</v>
      </c>
      <c r="B172" t="s">
        <v>524</v>
      </c>
      <c r="C172">
        <v>38</v>
      </c>
      <c r="D172">
        <v>40</v>
      </c>
      <c r="E172">
        <v>6</v>
      </c>
      <c r="F172" t="s">
        <v>703</v>
      </c>
      <c r="G172" t="s">
        <v>700</v>
      </c>
    </row>
    <row r="173" spans="1:7" x14ac:dyDescent="0.2">
      <c r="A173">
        <v>172</v>
      </c>
      <c r="B173" t="s">
        <v>523</v>
      </c>
      <c r="C173">
        <v>28</v>
      </c>
      <c r="D173">
        <v>48</v>
      </c>
      <c r="E173">
        <v>6</v>
      </c>
      <c r="F173" t="s">
        <v>701</v>
      </c>
      <c r="G173" t="s">
        <v>702</v>
      </c>
    </row>
    <row r="174" spans="1:7" x14ac:dyDescent="0.2">
      <c r="A174">
        <v>173</v>
      </c>
      <c r="B174" t="s">
        <v>522</v>
      </c>
      <c r="C174">
        <v>34</v>
      </c>
      <c r="D174">
        <v>35</v>
      </c>
      <c r="E174">
        <v>10</v>
      </c>
      <c r="F174" t="s">
        <v>701</v>
      </c>
      <c r="G174" t="s">
        <v>700</v>
      </c>
    </row>
    <row r="175" spans="1:7" x14ac:dyDescent="0.2">
      <c r="A175">
        <v>174</v>
      </c>
      <c r="B175" t="s">
        <v>521</v>
      </c>
      <c r="C175">
        <v>29</v>
      </c>
      <c r="D175">
        <v>52</v>
      </c>
      <c r="E175">
        <v>16</v>
      </c>
      <c r="F175" t="s">
        <v>701</v>
      </c>
      <c r="G175" t="s">
        <v>702</v>
      </c>
    </row>
    <row r="176" spans="1:7" x14ac:dyDescent="0.2">
      <c r="A176">
        <v>175</v>
      </c>
      <c r="B176" t="s">
        <v>520</v>
      </c>
      <c r="C176">
        <v>29</v>
      </c>
      <c r="D176">
        <v>37</v>
      </c>
      <c r="E176">
        <v>9</v>
      </c>
      <c r="F176" t="s">
        <v>703</v>
      </c>
      <c r="G176" t="s">
        <v>700</v>
      </c>
    </row>
    <row r="177" spans="1:7" x14ac:dyDescent="0.2">
      <c r="A177">
        <v>176</v>
      </c>
      <c r="B177" t="s">
        <v>519</v>
      </c>
      <c r="C177">
        <v>24</v>
      </c>
      <c r="D177">
        <v>40</v>
      </c>
      <c r="E177">
        <v>8</v>
      </c>
      <c r="F177" t="s">
        <v>701</v>
      </c>
      <c r="G177" t="s">
        <v>702</v>
      </c>
    </row>
    <row r="178" spans="1:7" x14ac:dyDescent="0.2">
      <c r="A178">
        <v>177</v>
      </c>
      <c r="B178" t="s">
        <v>518</v>
      </c>
      <c r="C178">
        <v>37</v>
      </c>
      <c r="D178">
        <v>31</v>
      </c>
      <c r="E178">
        <v>13</v>
      </c>
      <c r="F178" t="s">
        <v>701</v>
      </c>
      <c r="G178" t="s">
        <v>700</v>
      </c>
    </row>
    <row r="179" spans="1:7" x14ac:dyDescent="0.2">
      <c r="A179">
        <v>178</v>
      </c>
      <c r="B179" t="s">
        <v>517</v>
      </c>
      <c r="C179">
        <v>45</v>
      </c>
      <c r="D179">
        <v>44</v>
      </c>
      <c r="E179">
        <v>9</v>
      </c>
      <c r="F179" t="s">
        <v>703</v>
      </c>
      <c r="G179" t="s">
        <v>700</v>
      </c>
    </row>
    <row r="180" spans="1:7" x14ac:dyDescent="0.2">
      <c r="A180">
        <v>179</v>
      </c>
      <c r="B180" t="s">
        <v>516</v>
      </c>
      <c r="C180">
        <v>40</v>
      </c>
      <c r="D180">
        <v>36</v>
      </c>
      <c r="E180">
        <v>12</v>
      </c>
      <c r="F180" t="s">
        <v>701</v>
      </c>
      <c r="G180" t="s">
        <v>700</v>
      </c>
    </row>
    <row r="181" spans="1:7" x14ac:dyDescent="0.2">
      <c r="A181">
        <v>180</v>
      </c>
      <c r="B181" t="s">
        <v>515</v>
      </c>
      <c r="C181">
        <v>24</v>
      </c>
      <c r="D181">
        <v>47</v>
      </c>
      <c r="E181">
        <v>13</v>
      </c>
      <c r="F181" t="s">
        <v>701</v>
      </c>
      <c r="G181" t="s">
        <v>702</v>
      </c>
    </row>
    <row r="182" spans="1:7" x14ac:dyDescent="0.2">
      <c r="A182">
        <v>181</v>
      </c>
      <c r="B182" t="s">
        <v>514</v>
      </c>
      <c r="C182">
        <v>38</v>
      </c>
      <c r="D182">
        <v>33</v>
      </c>
      <c r="E182">
        <v>10</v>
      </c>
      <c r="F182" t="s">
        <v>703</v>
      </c>
      <c r="G182" t="s">
        <v>700</v>
      </c>
    </row>
    <row r="183" spans="1:7" x14ac:dyDescent="0.2">
      <c r="A183">
        <v>182</v>
      </c>
      <c r="B183" t="s">
        <v>513</v>
      </c>
      <c r="C183">
        <v>33</v>
      </c>
      <c r="D183">
        <v>53</v>
      </c>
      <c r="E183">
        <v>13</v>
      </c>
      <c r="F183" t="s">
        <v>703</v>
      </c>
      <c r="G183" t="s">
        <v>702</v>
      </c>
    </row>
    <row r="184" spans="1:7" x14ac:dyDescent="0.2">
      <c r="A184">
        <v>183</v>
      </c>
      <c r="B184" t="s">
        <v>512</v>
      </c>
      <c r="C184">
        <v>39</v>
      </c>
      <c r="D184">
        <v>47</v>
      </c>
      <c r="E184">
        <v>13</v>
      </c>
      <c r="F184" t="s">
        <v>701</v>
      </c>
      <c r="G184" t="s">
        <v>700</v>
      </c>
    </row>
    <row r="185" spans="1:7" x14ac:dyDescent="0.2">
      <c r="A185">
        <v>184</v>
      </c>
      <c r="B185" t="s">
        <v>511</v>
      </c>
      <c r="C185">
        <v>41</v>
      </c>
      <c r="D185">
        <v>54</v>
      </c>
      <c r="E185">
        <v>11</v>
      </c>
      <c r="F185" t="s">
        <v>701</v>
      </c>
      <c r="G185" t="s">
        <v>702</v>
      </c>
    </row>
    <row r="186" spans="1:7" x14ac:dyDescent="0.2">
      <c r="A186">
        <v>185</v>
      </c>
      <c r="B186" t="s">
        <v>510</v>
      </c>
      <c r="C186">
        <v>45</v>
      </c>
      <c r="D186">
        <v>54</v>
      </c>
      <c r="E186">
        <v>17</v>
      </c>
      <c r="F186" t="s">
        <v>703</v>
      </c>
      <c r="G186" t="s">
        <v>700</v>
      </c>
    </row>
    <row r="187" spans="1:7" x14ac:dyDescent="0.2">
      <c r="A187">
        <v>186</v>
      </c>
      <c r="B187" t="s">
        <v>509</v>
      </c>
      <c r="C187">
        <v>28</v>
      </c>
      <c r="D187">
        <v>58</v>
      </c>
      <c r="E187">
        <v>12</v>
      </c>
      <c r="F187" t="s">
        <v>703</v>
      </c>
      <c r="G187" t="s">
        <v>702</v>
      </c>
    </row>
    <row r="188" spans="1:7" x14ac:dyDescent="0.2">
      <c r="A188">
        <v>187</v>
      </c>
      <c r="B188" t="s">
        <v>508</v>
      </c>
      <c r="C188">
        <v>43</v>
      </c>
      <c r="D188">
        <v>47</v>
      </c>
      <c r="E188">
        <v>16</v>
      </c>
      <c r="F188" t="s">
        <v>703</v>
      </c>
      <c r="G188" t="s">
        <v>700</v>
      </c>
    </row>
    <row r="189" spans="1:7" x14ac:dyDescent="0.2">
      <c r="A189">
        <v>188</v>
      </c>
      <c r="B189" t="s">
        <v>507</v>
      </c>
      <c r="C189">
        <v>23</v>
      </c>
      <c r="D189">
        <v>51</v>
      </c>
      <c r="E189">
        <v>6</v>
      </c>
      <c r="F189" t="s">
        <v>701</v>
      </c>
      <c r="G189" t="s">
        <v>702</v>
      </c>
    </row>
    <row r="190" spans="1:7" x14ac:dyDescent="0.2">
      <c r="A190">
        <v>189</v>
      </c>
      <c r="B190" t="s">
        <v>506</v>
      </c>
      <c r="C190">
        <v>23</v>
      </c>
      <c r="D190">
        <v>42</v>
      </c>
      <c r="E190">
        <v>13</v>
      </c>
      <c r="F190" t="s">
        <v>701</v>
      </c>
      <c r="G190" t="s">
        <v>702</v>
      </c>
    </row>
    <row r="191" spans="1:7" x14ac:dyDescent="0.2">
      <c r="A191">
        <v>190</v>
      </c>
      <c r="B191" t="s">
        <v>505</v>
      </c>
      <c r="C191">
        <v>45</v>
      </c>
      <c r="D191">
        <v>54</v>
      </c>
      <c r="E191">
        <v>6</v>
      </c>
      <c r="F191" t="s">
        <v>701</v>
      </c>
      <c r="G191" t="s">
        <v>702</v>
      </c>
    </row>
    <row r="192" spans="1:7" x14ac:dyDescent="0.2">
      <c r="A192">
        <v>191</v>
      </c>
      <c r="B192" t="s">
        <v>504</v>
      </c>
      <c r="C192">
        <v>40</v>
      </c>
      <c r="D192">
        <v>39</v>
      </c>
      <c r="E192">
        <v>7</v>
      </c>
      <c r="F192" t="s">
        <v>703</v>
      </c>
      <c r="G192" t="s">
        <v>700</v>
      </c>
    </row>
    <row r="193" spans="1:7" x14ac:dyDescent="0.2">
      <c r="A193">
        <v>192</v>
      </c>
      <c r="B193" t="s">
        <v>503</v>
      </c>
      <c r="C193">
        <v>45</v>
      </c>
      <c r="D193">
        <v>39</v>
      </c>
      <c r="E193">
        <v>6</v>
      </c>
      <c r="F193" t="s">
        <v>701</v>
      </c>
      <c r="G193" t="s">
        <v>700</v>
      </c>
    </row>
    <row r="194" spans="1:7" x14ac:dyDescent="0.2">
      <c r="A194">
        <v>193</v>
      </c>
      <c r="B194" t="s">
        <v>502</v>
      </c>
      <c r="C194">
        <v>48</v>
      </c>
      <c r="D194">
        <v>42</v>
      </c>
      <c r="E194">
        <v>15</v>
      </c>
      <c r="F194" t="s">
        <v>701</v>
      </c>
      <c r="G194" t="s">
        <v>700</v>
      </c>
    </row>
    <row r="195" spans="1:7" x14ac:dyDescent="0.2">
      <c r="A195">
        <v>194</v>
      </c>
      <c r="B195" t="s">
        <v>501</v>
      </c>
      <c r="C195">
        <v>27</v>
      </c>
      <c r="D195">
        <v>47</v>
      </c>
      <c r="E195">
        <v>15</v>
      </c>
      <c r="F195" t="s">
        <v>701</v>
      </c>
      <c r="G195" t="s">
        <v>702</v>
      </c>
    </row>
    <row r="196" spans="1:7" x14ac:dyDescent="0.2">
      <c r="A196">
        <v>195</v>
      </c>
      <c r="B196" t="s">
        <v>500</v>
      </c>
      <c r="C196">
        <v>21</v>
      </c>
      <c r="D196">
        <v>53</v>
      </c>
      <c r="E196">
        <v>12</v>
      </c>
      <c r="F196" t="s">
        <v>701</v>
      </c>
      <c r="G196" t="s">
        <v>702</v>
      </c>
    </row>
    <row r="197" spans="1:7" x14ac:dyDescent="0.2">
      <c r="A197">
        <v>196</v>
      </c>
      <c r="B197" t="s">
        <v>499</v>
      </c>
      <c r="C197">
        <v>43</v>
      </c>
      <c r="D197">
        <v>37</v>
      </c>
      <c r="E197">
        <v>14</v>
      </c>
      <c r="F197" t="s">
        <v>703</v>
      </c>
      <c r="G197" t="s">
        <v>700</v>
      </c>
    </row>
    <row r="198" spans="1:7" x14ac:dyDescent="0.2">
      <c r="A198">
        <v>197</v>
      </c>
      <c r="B198" t="s">
        <v>498</v>
      </c>
      <c r="C198">
        <v>47</v>
      </c>
      <c r="D198">
        <v>41</v>
      </c>
      <c r="E198">
        <v>12</v>
      </c>
      <c r="F198" t="s">
        <v>703</v>
      </c>
      <c r="G198" t="s">
        <v>700</v>
      </c>
    </row>
    <row r="199" spans="1:7" x14ac:dyDescent="0.2">
      <c r="A199">
        <v>198</v>
      </c>
      <c r="B199" t="s">
        <v>497</v>
      </c>
      <c r="C199">
        <v>38</v>
      </c>
      <c r="D199">
        <v>50</v>
      </c>
      <c r="E199">
        <v>10</v>
      </c>
      <c r="F199" t="s">
        <v>701</v>
      </c>
      <c r="G199" t="s">
        <v>702</v>
      </c>
    </row>
    <row r="200" spans="1:7" x14ac:dyDescent="0.2">
      <c r="A200">
        <v>199</v>
      </c>
      <c r="B200" t="s">
        <v>496</v>
      </c>
      <c r="C200">
        <v>32</v>
      </c>
      <c r="D200">
        <v>33</v>
      </c>
      <c r="E200">
        <v>5</v>
      </c>
      <c r="F200" t="s">
        <v>703</v>
      </c>
      <c r="G200" t="s">
        <v>700</v>
      </c>
    </row>
    <row r="201" spans="1:7" x14ac:dyDescent="0.2">
      <c r="A201">
        <v>200</v>
      </c>
      <c r="B201" t="s">
        <v>495</v>
      </c>
      <c r="C201">
        <v>40</v>
      </c>
      <c r="D201">
        <v>52</v>
      </c>
      <c r="E201">
        <v>7</v>
      </c>
      <c r="F201" t="s">
        <v>701</v>
      </c>
      <c r="G201" t="s">
        <v>702</v>
      </c>
    </row>
    <row r="202" spans="1:7" x14ac:dyDescent="0.2">
      <c r="A202">
        <v>201</v>
      </c>
      <c r="B202" t="s">
        <v>494</v>
      </c>
      <c r="C202">
        <v>37</v>
      </c>
      <c r="D202">
        <v>49</v>
      </c>
      <c r="E202">
        <v>11</v>
      </c>
      <c r="F202" t="s">
        <v>703</v>
      </c>
      <c r="G202" t="s">
        <v>702</v>
      </c>
    </row>
    <row r="203" spans="1:7" x14ac:dyDescent="0.2">
      <c r="A203">
        <v>202</v>
      </c>
      <c r="B203" t="s">
        <v>493</v>
      </c>
      <c r="C203">
        <v>25</v>
      </c>
      <c r="D203">
        <v>51</v>
      </c>
      <c r="E203">
        <v>13</v>
      </c>
      <c r="F203" t="s">
        <v>703</v>
      </c>
      <c r="G203" t="s">
        <v>702</v>
      </c>
    </row>
    <row r="204" spans="1:7" x14ac:dyDescent="0.2">
      <c r="A204">
        <v>203</v>
      </c>
      <c r="B204" t="s">
        <v>492</v>
      </c>
      <c r="C204">
        <v>38</v>
      </c>
      <c r="D204">
        <v>36</v>
      </c>
      <c r="E204">
        <v>8</v>
      </c>
      <c r="F204" t="s">
        <v>701</v>
      </c>
      <c r="G204" t="s">
        <v>700</v>
      </c>
    </row>
    <row r="205" spans="1:7" x14ac:dyDescent="0.2">
      <c r="A205">
        <v>204</v>
      </c>
      <c r="B205" t="s">
        <v>491</v>
      </c>
      <c r="C205">
        <v>43</v>
      </c>
      <c r="D205">
        <v>58</v>
      </c>
      <c r="E205">
        <v>8</v>
      </c>
      <c r="F205" t="s">
        <v>703</v>
      </c>
      <c r="G205" t="s">
        <v>702</v>
      </c>
    </row>
    <row r="206" spans="1:7" x14ac:dyDescent="0.2">
      <c r="A206">
        <v>205</v>
      </c>
      <c r="B206" t="s">
        <v>490</v>
      </c>
      <c r="C206">
        <v>31</v>
      </c>
      <c r="D206">
        <v>50</v>
      </c>
      <c r="E206">
        <v>9</v>
      </c>
      <c r="F206" t="s">
        <v>703</v>
      </c>
      <c r="G206" t="s">
        <v>702</v>
      </c>
    </row>
    <row r="207" spans="1:7" x14ac:dyDescent="0.2">
      <c r="A207">
        <v>206</v>
      </c>
      <c r="B207" t="s">
        <v>489</v>
      </c>
      <c r="C207">
        <v>36</v>
      </c>
      <c r="D207">
        <v>50</v>
      </c>
      <c r="E207">
        <v>12</v>
      </c>
      <c r="F207" t="s">
        <v>701</v>
      </c>
      <c r="G207" t="s">
        <v>702</v>
      </c>
    </row>
    <row r="208" spans="1:7" x14ac:dyDescent="0.2">
      <c r="A208">
        <v>207</v>
      </c>
      <c r="B208" t="s">
        <v>488</v>
      </c>
      <c r="C208">
        <v>36</v>
      </c>
      <c r="D208">
        <v>46</v>
      </c>
      <c r="E208">
        <v>8</v>
      </c>
      <c r="F208" t="s">
        <v>701</v>
      </c>
      <c r="G208" t="s">
        <v>702</v>
      </c>
    </row>
    <row r="209" spans="1:7" x14ac:dyDescent="0.2">
      <c r="A209">
        <v>208</v>
      </c>
      <c r="B209" t="s">
        <v>487</v>
      </c>
      <c r="C209">
        <v>35</v>
      </c>
      <c r="D209">
        <v>52</v>
      </c>
      <c r="E209">
        <v>15</v>
      </c>
      <c r="F209" t="s">
        <v>703</v>
      </c>
      <c r="G209" t="s">
        <v>702</v>
      </c>
    </row>
    <row r="210" spans="1:7" x14ac:dyDescent="0.2">
      <c r="A210">
        <v>209</v>
      </c>
      <c r="B210" t="s">
        <v>486</v>
      </c>
      <c r="C210">
        <v>22</v>
      </c>
      <c r="D210">
        <v>49</v>
      </c>
      <c r="E210" t="s">
        <v>21</v>
      </c>
      <c r="F210" t="s">
        <v>701</v>
      </c>
      <c r="G210" t="s">
        <v>21</v>
      </c>
    </row>
    <row r="211" spans="1:7" x14ac:dyDescent="0.2">
      <c r="A211">
        <v>210</v>
      </c>
      <c r="B211" t="s">
        <v>485</v>
      </c>
      <c r="C211">
        <v>43</v>
      </c>
      <c r="D211">
        <v>28</v>
      </c>
      <c r="E211">
        <v>6</v>
      </c>
      <c r="F211" t="s">
        <v>703</v>
      </c>
      <c r="G211" t="s">
        <v>700</v>
      </c>
    </row>
    <row r="212" spans="1:7" x14ac:dyDescent="0.2">
      <c r="A212">
        <v>211</v>
      </c>
      <c r="B212" t="s">
        <v>484</v>
      </c>
      <c r="C212">
        <v>31</v>
      </c>
      <c r="D212">
        <v>51</v>
      </c>
      <c r="E212">
        <v>7</v>
      </c>
      <c r="F212" t="s">
        <v>703</v>
      </c>
      <c r="G212" t="s">
        <v>702</v>
      </c>
    </row>
    <row r="213" spans="1:7" x14ac:dyDescent="0.2">
      <c r="A213">
        <v>212</v>
      </c>
      <c r="B213" t="s">
        <v>483</v>
      </c>
      <c r="C213">
        <v>41</v>
      </c>
      <c r="D213">
        <v>36</v>
      </c>
      <c r="E213">
        <v>7</v>
      </c>
      <c r="F213" t="s">
        <v>701</v>
      </c>
      <c r="G213" t="s">
        <v>700</v>
      </c>
    </row>
    <row r="214" spans="1:7" x14ac:dyDescent="0.2">
      <c r="A214">
        <v>213</v>
      </c>
      <c r="B214" t="s">
        <v>482</v>
      </c>
      <c r="C214">
        <v>45</v>
      </c>
      <c r="D214">
        <v>41</v>
      </c>
      <c r="E214">
        <v>10</v>
      </c>
      <c r="F214" t="s">
        <v>701</v>
      </c>
      <c r="G214" t="s">
        <v>700</v>
      </c>
    </row>
    <row r="215" spans="1:7" x14ac:dyDescent="0.2">
      <c r="A215">
        <v>214</v>
      </c>
      <c r="B215" t="s">
        <v>481</v>
      </c>
      <c r="C215">
        <v>41</v>
      </c>
      <c r="D215">
        <v>57</v>
      </c>
      <c r="E215">
        <v>9</v>
      </c>
      <c r="F215" t="s">
        <v>703</v>
      </c>
      <c r="G215" t="s">
        <v>702</v>
      </c>
    </row>
    <row r="216" spans="1:7" x14ac:dyDescent="0.2">
      <c r="A216">
        <v>215</v>
      </c>
      <c r="B216" t="s">
        <v>480</v>
      </c>
      <c r="C216">
        <v>25</v>
      </c>
      <c r="D216">
        <v>50</v>
      </c>
      <c r="E216">
        <v>16</v>
      </c>
      <c r="F216" t="s">
        <v>703</v>
      </c>
      <c r="G216" t="s">
        <v>702</v>
      </c>
    </row>
    <row r="217" spans="1:7" x14ac:dyDescent="0.2">
      <c r="A217">
        <v>216</v>
      </c>
      <c r="B217" t="s">
        <v>479</v>
      </c>
      <c r="C217">
        <v>47</v>
      </c>
      <c r="D217">
        <v>31</v>
      </c>
      <c r="E217">
        <v>10</v>
      </c>
      <c r="F217" t="s">
        <v>703</v>
      </c>
      <c r="G217" t="s">
        <v>700</v>
      </c>
    </row>
    <row r="218" spans="1:7" x14ac:dyDescent="0.2">
      <c r="A218">
        <v>217</v>
      </c>
      <c r="B218" t="s">
        <v>478</v>
      </c>
      <c r="C218">
        <v>20</v>
      </c>
      <c r="D218">
        <v>48</v>
      </c>
      <c r="E218">
        <v>5</v>
      </c>
      <c r="F218" t="s">
        <v>703</v>
      </c>
      <c r="G218" t="s">
        <v>702</v>
      </c>
    </row>
    <row r="219" spans="1:7" x14ac:dyDescent="0.2">
      <c r="A219">
        <v>218</v>
      </c>
      <c r="B219" t="s">
        <v>477</v>
      </c>
      <c r="C219">
        <v>37</v>
      </c>
      <c r="D219">
        <v>46</v>
      </c>
      <c r="E219">
        <v>6</v>
      </c>
      <c r="F219" t="s">
        <v>701</v>
      </c>
      <c r="G219" t="s">
        <v>702</v>
      </c>
    </row>
    <row r="220" spans="1:7" x14ac:dyDescent="0.2">
      <c r="A220">
        <v>219</v>
      </c>
      <c r="B220" t="s">
        <v>476</v>
      </c>
      <c r="C220">
        <v>44</v>
      </c>
      <c r="D220">
        <v>34</v>
      </c>
      <c r="E220">
        <v>4</v>
      </c>
      <c r="F220" t="s">
        <v>703</v>
      </c>
      <c r="G220" t="s">
        <v>700</v>
      </c>
    </row>
    <row r="221" spans="1:7" x14ac:dyDescent="0.2">
      <c r="A221">
        <v>220</v>
      </c>
      <c r="B221" t="s">
        <v>475</v>
      </c>
      <c r="C221">
        <v>44</v>
      </c>
      <c r="D221">
        <v>25</v>
      </c>
      <c r="E221">
        <v>11</v>
      </c>
      <c r="F221" t="s">
        <v>701</v>
      </c>
      <c r="G221" t="s">
        <v>700</v>
      </c>
    </row>
    <row r="222" spans="1:7" x14ac:dyDescent="0.2">
      <c r="A222">
        <v>221</v>
      </c>
      <c r="B222" t="s">
        <v>474</v>
      </c>
      <c r="C222">
        <v>27</v>
      </c>
      <c r="D222">
        <v>59</v>
      </c>
      <c r="E222">
        <v>10</v>
      </c>
      <c r="F222" t="s">
        <v>703</v>
      </c>
      <c r="G222" t="s">
        <v>702</v>
      </c>
    </row>
    <row r="223" spans="1:7" x14ac:dyDescent="0.2">
      <c r="A223">
        <v>222</v>
      </c>
      <c r="B223" t="s">
        <v>473</v>
      </c>
      <c r="C223">
        <v>23</v>
      </c>
      <c r="D223">
        <v>28</v>
      </c>
      <c r="E223">
        <v>13</v>
      </c>
      <c r="F223" t="s">
        <v>703</v>
      </c>
      <c r="G223" t="s">
        <v>700</v>
      </c>
    </row>
    <row r="224" spans="1:7" x14ac:dyDescent="0.2">
      <c r="A224">
        <v>223</v>
      </c>
      <c r="B224" t="s">
        <v>472</v>
      </c>
      <c r="C224">
        <v>36</v>
      </c>
      <c r="D224">
        <v>41</v>
      </c>
      <c r="E224">
        <v>11</v>
      </c>
      <c r="F224" t="s">
        <v>703</v>
      </c>
      <c r="G224" t="s">
        <v>700</v>
      </c>
    </row>
    <row r="225" spans="1:7" x14ac:dyDescent="0.2">
      <c r="A225">
        <v>224</v>
      </c>
      <c r="B225" t="s">
        <v>471</v>
      </c>
      <c r="C225">
        <v>37</v>
      </c>
      <c r="D225">
        <v>47</v>
      </c>
      <c r="E225">
        <v>11</v>
      </c>
      <c r="F225" t="s">
        <v>703</v>
      </c>
      <c r="G225" t="s">
        <v>700</v>
      </c>
    </row>
    <row r="226" spans="1:7" x14ac:dyDescent="0.2">
      <c r="A226">
        <v>225</v>
      </c>
      <c r="B226" t="s">
        <v>470</v>
      </c>
      <c r="C226">
        <v>28</v>
      </c>
      <c r="D226">
        <v>39</v>
      </c>
      <c r="E226">
        <v>10</v>
      </c>
      <c r="F226" t="s">
        <v>703</v>
      </c>
      <c r="G226" t="s">
        <v>702</v>
      </c>
    </row>
    <row r="227" spans="1:7" x14ac:dyDescent="0.2">
      <c r="A227">
        <v>226</v>
      </c>
      <c r="B227" t="s">
        <v>469</v>
      </c>
      <c r="C227">
        <v>46</v>
      </c>
      <c r="D227">
        <v>42</v>
      </c>
      <c r="E227">
        <v>6</v>
      </c>
      <c r="F227" t="s">
        <v>703</v>
      </c>
      <c r="G227" t="s">
        <v>700</v>
      </c>
    </row>
    <row r="228" spans="1:7" x14ac:dyDescent="0.2">
      <c r="A228">
        <v>227</v>
      </c>
      <c r="B228" t="s">
        <v>468</v>
      </c>
      <c r="C228">
        <v>40</v>
      </c>
      <c r="D228">
        <v>58</v>
      </c>
      <c r="E228">
        <v>2</v>
      </c>
      <c r="F228" t="s">
        <v>701</v>
      </c>
      <c r="G228" t="s">
        <v>702</v>
      </c>
    </row>
    <row r="229" spans="1:7" x14ac:dyDescent="0.2">
      <c r="A229">
        <v>228</v>
      </c>
      <c r="B229" t="s">
        <v>467</v>
      </c>
      <c r="C229">
        <v>21</v>
      </c>
      <c r="D229">
        <v>27</v>
      </c>
      <c r="E229">
        <v>12</v>
      </c>
      <c r="F229" t="s">
        <v>701</v>
      </c>
      <c r="G229" t="s">
        <v>700</v>
      </c>
    </row>
    <row r="230" spans="1:7" x14ac:dyDescent="0.2">
      <c r="A230">
        <v>229</v>
      </c>
      <c r="B230" t="s">
        <v>466</v>
      </c>
      <c r="C230">
        <v>44</v>
      </c>
      <c r="D230">
        <v>54</v>
      </c>
      <c r="E230">
        <v>9</v>
      </c>
      <c r="F230" t="s">
        <v>703</v>
      </c>
      <c r="G230" t="s">
        <v>702</v>
      </c>
    </row>
    <row r="231" spans="1:7" x14ac:dyDescent="0.2">
      <c r="A231">
        <v>230</v>
      </c>
      <c r="B231" t="s">
        <v>465</v>
      </c>
      <c r="C231">
        <v>41</v>
      </c>
      <c r="D231">
        <v>54</v>
      </c>
      <c r="E231">
        <v>10</v>
      </c>
      <c r="F231" t="s">
        <v>703</v>
      </c>
      <c r="G231" t="s">
        <v>702</v>
      </c>
    </row>
    <row r="232" spans="1:7" x14ac:dyDescent="0.2">
      <c r="A232">
        <v>231</v>
      </c>
      <c r="B232" t="s">
        <v>464</v>
      </c>
      <c r="C232">
        <v>21</v>
      </c>
      <c r="D232">
        <v>41</v>
      </c>
      <c r="E232">
        <v>14</v>
      </c>
      <c r="F232" t="s">
        <v>701</v>
      </c>
      <c r="G232" t="s">
        <v>702</v>
      </c>
    </row>
    <row r="233" spans="1:7" x14ac:dyDescent="0.2">
      <c r="A233">
        <v>232</v>
      </c>
      <c r="B233" t="s">
        <v>463</v>
      </c>
      <c r="C233">
        <v>25</v>
      </c>
      <c r="D233">
        <v>54</v>
      </c>
      <c r="E233">
        <v>7</v>
      </c>
      <c r="F233" t="s">
        <v>701</v>
      </c>
      <c r="G233" t="s">
        <v>702</v>
      </c>
    </row>
    <row r="234" spans="1:7" x14ac:dyDescent="0.2">
      <c r="A234">
        <v>233</v>
      </c>
      <c r="B234" t="s">
        <v>462</v>
      </c>
      <c r="C234">
        <v>49</v>
      </c>
      <c r="D234">
        <v>55</v>
      </c>
      <c r="E234">
        <v>12</v>
      </c>
      <c r="F234" t="s">
        <v>703</v>
      </c>
      <c r="G234" t="s">
        <v>700</v>
      </c>
    </row>
    <row r="235" spans="1:7" x14ac:dyDescent="0.2">
      <c r="A235">
        <v>234</v>
      </c>
      <c r="B235" t="s">
        <v>461</v>
      </c>
      <c r="C235">
        <v>28</v>
      </c>
      <c r="D235">
        <v>58</v>
      </c>
      <c r="E235">
        <v>7</v>
      </c>
      <c r="F235" t="s">
        <v>703</v>
      </c>
      <c r="G235" t="s">
        <v>702</v>
      </c>
    </row>
    <row r="236" spans="1:7" x14ac:dyDescent="0.2">
      <c r="A236">
        <v>235</v>
      </c>
      <c r="B236" t="s">
        <v>460</v>
      </c>
      <c r="C236">
        <v>44</v>
      </c>
      <c r="D236">
        <v>50</v>
      </c>
      <c r="E236">
        <v>9</v>
      </c>
      <c r="F236" t="s">
        <v>703</v>
      </c>
      <c r="G236" t="s">
        <v>700</v>
      </c>
    </row>
    <row r="237" spans="1:7" x14ac:dyDescent="0.2">
      <c r="A237">
        <v>236</v>
      </c>
      <c r="B237" t="s">
        <v>459</v>
      </c>
      <c r="C237">
        <v>31</v>
      </c>
      <c r="D237">
        <v>57</v>
      </c>
      <c r="E237">
        <v>11</v>
      </c>
      <c r="F237" t="s">
        <v>703</v>
      </c>
      <c r="G237" t="s">
        <v>702</v>
      </c>
    </row>
    <row r="238" spans="1:7" x14ac:dyDescent="0.2">
      <c r="A238">
        <v>237</v>
      </c>
      <c r="B238" t="s">
        <v>458</v>
      </c>
      <c r="C238">
        <v>28</v>
      </c>
      <c r="D238">
        <v>57</v>
      </c>
      <c r="E238">
        <v>12</v>
      </c>
      <c r="F238" t="s">
        <v>701</v>
      </c>
      <c r="G238" t="s">
        <v>702</v>
      </c>
    </row>
    <row r="239" spans="1:7" x14ac:dyDescent="0.2">
      <c r="A239">
        <v>238</v>
      </c>
      <c r="B239" t="s">
        <v>457</v>
      </c>
      <c r="C239">
        <v>32</v>
      </c>
      <c r="D239">
        <v>58</v>
      </c>
      <c r="E239">
        <v>9</v>
      </c>
      <c r="F239" t="s">
        <v>703</v>
      </c>
      <c r="G239" t="s">
        <v>702</v>
      </c>
    </row>
    <row r="240" spans="1:7" x14ac:dyDescent="0.2">
      <c r="A240">
        <v>239</v>
      </c>
      <c r="B240" t="s">
        <v>456</v>
      </c>
      <c r="C240">
        <v>31</v>
      </c>
      <c r="D240">
        <v>38</v>
      </c>
      <c r="E240">
        <v>12</v>
      </c>
      <c r="F240" t="s">
        <v>701</v>
      </c>
      <c r="G240" t="s">
        <v>700</v>
      </c>
    </row>
    <row r="241" spans="1:7" x14ac:dyDescent="0.2">
      <c r="A241">
        <v>240</v>
      </c>
      <c r="B241" t="s">
        <v>455</v>
      </c>
      <c r="C241">
        <v>48</v>
      </c>
      <c r="D241">
        <v>51</v>
      </c>
      <c r="E241">
        <v>8</v>
      </c>
      <c r="F241" t="s">
        <v>703</v>
      </c>
      <c r="G241" t="s">
        <v>700</v>
      </c>
    </row>
    <row r="242" spans="1:7" x14ac:dyDescent="0.2">
      <c r="A242">
        <v>241</v>
      </c>
      <c r="B242" t="s">
        <v>454</v>
      </c>
      <c r="C242">
        <v>50</v>
      </c>
      <c r="D242">
        <v>48</v>
      </c>
      <c r="E242">
        <v>10</v>
      </c>
      <c r="F242" t="s">
        <v>701</v>
      </c>
      <c r="G242" t="s">
        <v>700</v>
      </c>
    </row>
    <row r="243" spans="1:7" x14ac:dyDescent="0.2">
      <c r="A243">
        <v>242</v>
      </c>
      <c r="B243" t="s">
        <v>453</v>
      </c>
      <c r="C243">
        <v>34</v>
      </c>
      <c r="D243">
        <v>45</v>
      </c>
      <c r="E243">
        <v>10</v>
      </c>
      <c r="F243" t="s">
        <v>703</v>
      </c>
      <c r="G243" t="s">
        <v>702</v>
      </c>
    </row>
    <row r="244" spans="1:7" x14ac:dyDescent="0.2">
      <c r="A244">
        <v>243</v>
      </c>
      <c r="B244" t="s">
        <v>452</v>
      </c>
      <c r="C244">
        <v>29</v>
      </c>
      <c r="D244">
        <v>27</v>
      </c>
      <c r="E244">
        <v>8</v>
      </c>
      <c r="F244" t="s">
        <v>701</v>
      </c>
      <c r="G244" t="s">
        <v>700</v>
      </c>
    </row>
    <row r="245" spans="1:7" x14ac:dyDescent="0.2">
      <c r="A245">
        <v>244</v>
      </c>
      <c r="B245" t="s">
        <v>451</v>
      </c>
      <c r="C245">
        <v>40</v>
      </c>
      <c r="D245">
        <v>53</v>
      </c>
      <c r="E245">
        <v>5</v>
      </c>
      <c r="F245" t="s">
        <v>701</v>
      </c>
      <c r="G245" t="s">
        <v>702</v>
      </c>
    </row>
    <row r="246" spans="1:7" x14ac:dyDescent="0.2">
      <c r="A246">
        <v>245</v>
      </c>
      <c r="B246" t="s">
        <v>450</v>
      </c>
      <c r="C246">
        <v>47</v>
      </c>
      <c r="D246">
        <v>55</v>
      </c>
      <c r="E246">
        <v>15</v>
      </c>
      <c r="F246" t="s">
        <v>701</v>
      </c>
      <c r="G246" t="s">
        <v>700</v>
      </c>
    </row>
    <row r="247" spans="1:7" x14ac:dyDescent="0.2">
      <c r="A247">
        <v>246</v>
      </c>
      <c r="B247" t="s">
        <v>449</v>
      </c>
      <c r="C247">
        <v>28</v>
      </c>
      <c r="D247">
        <v>49</v>
      </c>
      <c r="E247">
        <v>15</v>
      </c>
      <c r="F247" t="s">
        <v>703</v>
      </c>
      <c r="G247" t="s">
        <v>702</v>
      </c>
    </row>
    <row r="248" spans="1:7" x14ac:dyDescent="0.2">
      <c r="A248">
        <v>247</v>
      </c>
      <c r="B248" t="s">
        <v>448</v>
      </c>
      <c r="C248">
        <v>34</v>
      </c>
      <c r="D248">
        <v>38</v>
      </c>
      <c r="E248">
        <v>6</v>
      </c>
      <c r="F248" t="s">
        <v>701</v>
      </c>
      <c r="G248" t="s">
        <v>700</v>
      </c>
    </row>
    <row r="249" spans="1:7" x14ac:dyDescent="0.2">
      <c r="A249">
        <v>248</v>
      </c>
      <c r="B249" t="s">
        <v>447</v>
      </c>
      <c r="C249">
        <v>33</v>
      </c>
      <c r="D249">
        <v>40</v>
      </c>
      <c r="E249">
        <v>9</v>
      </c>
      <c r="F249" t="s">
        <v>703</v>
      </c>
      <c r="G249" t="s">
        <v>700</v>
      </c>
    </row>
    <row r="250" spans="1:7" x14ac:dyDescent="0.2">
      <c r="A250">
        <v>249</v>
      </c>
      <c r="B250" t="s">
        <v>446</v>
      </c>
      <c r="C250">
        <v>38</v>
      </c>
      <c r="D250">
        <v>26</v>
      </c>
      <c r="E250">
        <v>11</v>
      </c>
      <c r="F250" t="s">
        <v>701</v>
      </c>
      <c r="G250" t="s">
        <v>700</v>
      </c>
    </row>
    <row r="251" spans="1:7" x14ac:dyDescent="0.2">
      <c r="A251">
        <v>250</v>
      </c>
      <c r="B251" t="s">
        <v>445</v>
      </c>
      <c r="C251">
        <v>30</v>
      </c>
      <c r="D251">
        <v>29</v>
      </c>
      <c r="E251">
        <v>11</v>
      </c>
      <c r="F251" t="s">
        <v>701</v>
      </c>
      <c r="G251" t="s">
        <v>700</v>
      </c>
    </row>
    <row r="252" spans="1:7" x14ac:dyDescent="0.2">
      <c r="A252">
        <v>251</v>
      </c>
      <c r="B252" t="s">
        <v>444</v>
      </c>
      <c r="C252">
        <v>42</v>
      </c>
      <c r="D252">
        <v>48</v>
      </c>
      <c r="E252" t="s">
        <v>21</v>
      </c>
      <c r="F252" t="s">
        <v>701</v>
      </c>
      <c r="G252" t="s">
        <v>21</v>
      </c>
    </row>
    <row r="253" spans="1:7" x14ac:dyDescent="0.2">
      <c r="A253">
        <v>252</v>
      </c>
      <c r="B253" t="s">
        <v>443</v>
      </c>
      <c r="C253">
        <v>22</v>
      </c>
      <c r="D253">
        <v>29</v>
      </c>
      <c r="E253">
        <v>13</v>
      </c>
      <c r="F253" t="s">
        <v>701</v>
      </c>
      <c r="G253" t="s">
        <v>700</v>
      </c>
    </row>
    <row r="254" spans="1:7" x14ac:dyDescent="0.2">
      <c r="A254">
        <v>253</v>
      </c>
      <c r="B254" t="s">
        <v>442</v>
      </c>
      <c r="C254">
        <v>26</v>
      </c>
      <c r="D254">
        <v>40</v>
      </c>
      <c r="E254">
        <v>9</v>
      </c>
      <c r="F254" t="s">
        <v>701</v>
      </c>
      <c r="G254" t="s">
        <v>702</v>
      </c>
    </row>
    <row r="255" spans="1:7" x14ac:dyDescent="0.2">
      <c r="A255">
        <v>254</v>
      </c>
      <c r="B255" t="s">
        <v>441</v>
      </c>
      <c r="C255">
        <v>49</v>
      </c>
      <c r="D255">
        <v>38</v>
      </c>
      <c r="E255">
        <v>7</v>
      </c>
      <c r="F255" t="s">
        <v>703</v>
      </c>
      <c r="G255" t="s">
        <v>700</v>
      </c>
    </row>
    <row r="256" spans="1:7" x14ac:dyDescent="0.2">
      <c r="A256">
        <v>255</v>
      </c>
      <c r="B256" t="s">
        <v>440</v>
      </c>
      <c r="C256">
        <v>40</v>
      </c>
      <c r="D256">
        <v>41</v>
      </c>
      <c r="E256">
        <v>11</v>
      </c>
      <c r="F256" t="s">
        <v>703</v>
      </c>
      <c r="G256" t="s">
        <v>700</v>
      </c>
    </row>
    <row r="257" spans="1:7" x14ac:dyDescent="0.2">
      <c r="A257">
        <v>256</v>
      </c>
      <c r="B257" t="s">
        <v>439</v>
      </c>
      <c r="C257">
        <v>33</v>
      </c>
      <c r="D257">
        <v>47</v>
      </c>
      <c r="E257">
        <v>8</v>
      </c>
      <c r="F257" t="s">
        <v>701</v>
      </c>
      <c r="G257" t="s">
        <v>702</v>
      </c>
    </row>
    <row r="258" spans="1:7" x14ac:dyDescent="0.2">
      <c r="A258">
        <v>257</v>
      </c>
      <c r="B258" t="s">
        <v>438</v>
      </c>
      <c r="C258">
        <v>35</v>
      </c>
      <c r="D258">
        <v>31</v>
      </c>
      <c r="E258">
        <v>8</v>
      </c>
      <c r="F258" t="s">
        <v>703</v>
      </c>
      <c r="G258" t="s">
        <v>700</v>
      </c>
    </row>
    <row r="259" spans="1:7" x14ac:dyDescent="0.2">
      <c r="A259">
        <v>258</v>
      </c>
      <c r="B259" t="s">
        <v>437</v>
      </c>
      <c r="C259">
        <v>30</v>
      </c>
      <c r="D259">
        <v>52</v>
      </c>
      <c r="E259">
        <v>13</v>
      </c>
      <c r="F259" t="s">
        <v>701</v>
      </c>
      <c r="G259" t="s">
        <v>702</v>
      </c>
    </row>
    <row r="260" spans="1:7" x14ac:dyDescent="0.2">
      <c r="A260">
        <v>259</v>
      </c>
      <c r="B260" t="s">
        <v>436</v>
      </c>
      <c r="C260">
        <v>45</v>
      </c>
      <c r="D260">
        <v>54</v>
      </c>
      <c r="E260">
        <v>8</v>
      </c>
      <c r="F260" t="s">
        <v>701</v>
      </c>
      <c r="G260" t="s">
        <v>702</v>
      </c>
    </row>
    <row r="261" spans="1:7" x14ac:dyDescent="0.2">
      <c r="A261">
        <v>260</v>
      </c>
      <c r="B261" t="s">
        <v>435</v>
      </c>
      <c r="C261">
        <v>45</v>
      </c>
      <c r="D261">
        <v>54</v>
      </c>
      <c r="E261">
        <v>7</v>
      </c>
      <c r="F261" t="s">
        <v>701</v>
      </c>
      <c r="G261" t="s">
        <v>702</v>
      </c>
    </row>
    <row r="262" spans="1:7" x14ac:dyDescent="0.2">
      <c r="A262">
        <v>261</v>
      </c>
      <c r="B262" t="s">
        <v>434</v>
      </c>
      <c r="C262">
        <v>29</v>
      </c>
      <c r="D262">
        <v>53</v>
      </c>
      <c r="E262">
        <v>9</v>
      </c>
      <c r="F262" t="s">
        <v>701</v>
      </c>
      <c r="G262" t="s">
        <v>702</v>
      </c>
    </row>
    <row r="263" spans="1:7" x14ac:dyDescent="0.2">
      <c r="A263">
        <v>262</v>
      </c>
      <c r="B263" t="s">
        <v>433</v>
      </c>
      <c r="C263">
        <v>29</v>
      </c>
      <c r="D263">
        <v>26</v>
      </c>
      <c r="E263">
        <v>9</v>
      </c>
      <c r="F263" t="s">
        <v>701</v>
      </c>
      <c r="G263" t="s">
        <v>700</v>
      </c>
    </row>
    <row r="264" spans="1:7" x14ac:dyDescent="0.2">
      <c r="A264">
        <v>263</v>
      </c>
      <c r="B264" t="s">
        <v>432</v>
      </c>
      <c r="C264">
        <v>30</v>
      </c>
      <c r="D264">
        <v>55</v>
      </c>
      <c r="E264">
        <v>10</v>
      </c>
      <c r="F264" t="s">
        <v>701</v>
      </c>
      <c r="G264" t="s">
        <v>702</v>
      </c>
    </row>
    <row r="265" spans="1:7" x14ac:dyDescent="0.2">
      <c r="A265">
        <v>264</v>
      </c>
      <c r="B265" t="s">
        <v>431</v>
      </c>
      <c r="C265">
        <v>46</v>
      </c>
      <c r="D265">
        <v>26</v>
      </c>
      <c r="E265">
        <v>10</v>
      </c>
      <c r="F265" t="s">
        <v>703</v>
      </c>
      <c r="G265" t="s">
        <v>700</v>
      </c>
    </row>
    <row r="266" spans="1:7" x14ac:dyDescent="0.2">
      <c r="A266">
        <v>265</v>
      </c>
      <c r="B266" t="s">
        <v>430</v>
      </c>
      <c r="C266">
        <v>39</v>
      </c>
      <c r="D266">
        <v>44</v>
      </c>
      <c r="E266">
        <v>5</v>
      </c>
      <c r="F266" t="s">
        <v>703</v>
      </c>
      <c r="G266" t="s">
        <v>702</v>
      </c>
    </row>
    <row r="267" spans="1:7" x14ac:dyDescent="0.2">
      <c r="A267">
        <v>266</v>
      </c>
      <c r="B267" t="s">
        <v>429</v>
      </c>
      <c r="C267">
        <v>50</v>
      </c>
      <c r="D267">
        <v>48</v>
      </c>
      <c r="E267">
        <v>10</v>
      </c>
      <c r="F267" t="s">
        <v>703</v>
      </c>
      <c r="G267" t="s">
        <v>700</v>
      </c>
    </row>
    <row r="268" spans="1:7" x14ac:dyDescent="0.2">
      <c r="A268">
        <v>267</v>
      </c>
      <c r="B268" t="s">
        <v>428</v>
      </c>
      <c r="C268">
        <v>22</v>
      </c>
      <c r="D268">
        <v>25</v>
      </c>
      <c r="E268">
        <v>14</v>
      </c>
      <c r="F268" t="s">
        <v>703</v>
      </c>
      <c r="G268" t="s">
        <v>700</v>
      </c>
    </row>
    <row r="269" spans="1:7" x14ac:dyDescent="0.2">
      <c r="A269">
        <v>268</v>
      </c>
      <c r="B269" t="s">
        <v>427</v>
      </c>
      <c r="C269">
        <v>24</v>
      </c>
      <c r="D269">
        <v>32</v>
      </c>
      <c r="E269">
        <v>9</v>
      </c>
      <c r="F269" t="s">
        <v>703</v>
      </c>
      <c r="G269" t="s">
        <v>700</v>
      </c>
    </row>
    <row r="270" spans="1:7" x14ac:dyDescent="0.2">
      <c r="A270">
        <v>269</v>
      </c>
      <c r="B270" t="s">
        <v>426</v>
      </c>
      <c r="C270">
        <v>20</v>
      </c>
      <c r="D270">
        <v>25</v>
      </c>
      <c r="E270">
        <v>8</v>
      </c>
      <c r="F270" t="s">
        <v>701</v>
      </c>
      <c r="G270" t="s">
        <v>700</v>
      </c>
    </row>
    <row r="271" spans="1:7" x14ac:dyDescent="0.2">
      <c r="A271">
        <v>270</v>
      </c>
      <c r="B271" t="s">
        <v>425</v>
      </c>
      <c r="C271">
        <v>33</v>
      </c>
      <c r="D271">
        <v>53</v>
      </c>
      <c r="E271">
        <v>14</v>
      </c>
      <c r="F271" t="s">
        <v>703</v>
      </c>
      <c r="G271" t="s">
        <v>702</v>
      </c>
    </row>
    <row r="272" spans="1:7" x14ac:dyDescent="0.2">
      <c r="A272">
        <v>271</v>
      </c>
      <c r="B272" t="s">
        <v>424</v>
      </c>
      <c r="C272">
        <v>25</v>
      </c>
      <c r="D272">
        <v>42</v>
      </c>
      <c r="E272">
        <v>6</v>
      </c>
      <c r="F272" t="s">
        <v>703</v>
      </c>
      <c r="G272" t="s">
        <v>702</v>
      </c>
    </row>
    <row r="273" spans="1:7" x14ac:dyDescent="0.2">
      <c r="A273">
        <v>272</v>
      </c>
      <c r="B273" t="s">
        <v>423</v>
      </c>
      <c r="C273">
        <v>21</v>
      </c>
      <c r="D273">
        <v>39</v>
      </c>
      <c r="E273">
        <v>9</v>
      </c>
      <c r="F273" t="s">
        <v>703</v>
      </c>
      <c r="G273" t="s">
        <v>702</v>
      </c>
    </row>
    <row r="274" spans="1:7" x14ac:dyDescent="0.2">
      <c r="A274">
        <v>273</v>
      </c>
      <c r="B274" t="s">
        <v>422</v>
      </c>
      <c r="C274">
        <v>23</v>
      </c>
      <c r="D274">
        <v>59</v>
      </c>
      <c r="E274">
        <v>13</v>
      </c>
      <c r="F274" t="s">
        <v>701</v>
      </c>
      <c r="G274" t="s">
        <v>702</v>
      </c>
    </row>
    <row r="275" spans="1:7" x14ac:dyDescent="0.2">
      <c r="A275">
        <v>274</v>
      </c>
      <c r="B275" t="s">
        <v>421</v>
      </c>
      <c r="C275">
        <v>49</v>
      </c>
      <c r="D275">
        <v>59</v>
      </c>
      <c r="E275">
        <v>10</v>
      </c>
      <c r="F275" t="s">
        <v>701</v>
      </c>
      <c r="G275" t="s">
        <v>702</v>
      </c>
    </row>
    <row r="276" spans="1:7" x14ac:dyDescent="0.2">
      <c r="A276">
        <v>275</v>
      </c>
      <c r="B276" t="s">
        <v>420</v>
      </c>
      <c r="C276">
        <v>35</v>
      </c>
      <c r="D276">
        <v>27</v>
      </c>
      <c r="E276">
        <v>7</v>
      </c>
      <c r="F276" t="s">
        <v>701</v>
      </c>
      <c r="G276" t="s">
        <v>700</v>
      </c>
    </row>
    <row r="277" spans="1:7" x14ac:dyDescent="0.2">
      <c r="A277">
        <v>276</v>
      </c>
      <c r="B277" t="s">
        <v>419</v>
      </c>
      <c r="C277">
        <v>34</v>
      </c>
      <c r="D277">
        <v>54</v>
      </c>
      <c r="E277">
        <v>11</v>
      </c>
      <c r="F277" t="s">
        <v>701</v>
      </c>
      <c r="G277" t="s">
        <v>702</v>
      </c>
    </row>
    <row r="278" spans="1:7" x14ac:dyDescent="0.2">
      <c r="A278">
        <v>277</v>
      </c>
      <c r="B278" t="s">
        <v>418</v>
      </c>
      <c r="C278">
        <v>20</v>
      </c>
      <c r="D278">
        <v>40</v>
      </c>
      <c r="E278">
        <v>11</v>
      </c>
      <c r="F278" t="s">
        <v>701</v>
      </c>
      <c r="G278" t="s">
        <v>702</v>
      </c>
    </row>
    <row r="279" spans="1:7" x14ac:dyDescent="0.2">
      <c r="A279">
        <v>278</v>
      </c>
      <c r="B279" t="s">
        <v>417</v>
      </c>
      <c r="C279">
        <v>47</v>
      </c>
      <c r="D279">
        <v>37</v>
      </c>
      <c r="E279">
        <v>14</v>
      </c>
      <c r="F279" t="s">
        <v>703</v>
      </c>
      <c r="G279" t="s">
        <v>700</v>
      </c>
    </row>
    <row r="280" spans="1:7" x14ac:dyDescent="0.2">
      <c r="A280">
        <v>279</v>
      </c>
      <c r="B280" t="s">
        <v>416</v>
      </c>
      <c r="C280">
        <v>25</v>
      </c>
      <c r="D280">
        <v>30</v>
      </c>
      <c r="E280">
        <v>16</v>
      </c>
      <c r="F280" t="s">
        <v>701</v>
      </c>
      <c r="G280" t="s">
        <v>700</v>
      </c>
    </row>
    <row r="281" spans="1:7" x14ac:dyDescent="0.2">
      <c r="A281">
        <v>280</v>
      </c>
      <c r="B281" t="s">
        <v>415</v>
      </c>
      <c r="C281">
        <v>41</v>
      </c>
      <c r="D281">
        <v>46</v>
      </c>
      <c r="E281">
        <v>12</v>
      </c>
      <c r="F281" t="s">
        <v>703</v>
      </c>
      <c r="G281" t="s">
        <v>700</v>
      </c>
    </row>
    <row r="282" spans="1:7" x14ac:dyDescent="0.2">
      <c r="A282">
        <v>281</v>
      </c>
      <c r="B282" t="s">
        <v>414</v>
      </c>
      <c r="C282">
        <v>21</v>
      </c>
      <c r="D282">
        <v>54</v>
      </c>
      <c r="E282">
        <v>15</v>
      </c>
      <c r="F282" t="s">
        <v>703</v>
      </c>
      <c r="G282" t="s">
        <v>702</v>
      </c>
    </row>
    <row r="283" spans="1:7" x14ac:dyDescent="0.2">
      <c r="A283">
        <v>282</v>
      </c>
      <c r="B283" t="s">
        <v>413</v>
      </c>
      <c r="C283">
        <v>31</v>
      </c>
      <c r="D283">
        <v>56</v>
      </c>
      <c r="E283">
        <v>10</v>
      </c>
      <c r="F283" t="s">
        <v>703</v>
      </c>
      <c r="G283" t="s">
        <v>702</v>
      </c>
    </row>
    <row r="284" spans="1:7" x14ac:dyDescent="0.2">
      <c r="A284">
        <v>283</v>
      </c>
      <c r="B284" t="s">
        <v>412</v>
      </c>
      <c r="C284">
        <v>30</v>
      </c>
      <c r="D284">
        <v>37</v>
      </c>
      <c r="E284">
        <v>5</v>
      </c>
      <c r="F284" t="s">
        <v>701</v>
      </c>
      <c r="G284" t="s">
        <v>702</v>
      </c>
    </row>
    <row r="285" spans="1:7" x14ac:dyDescent="0.2">
      <c r="A285">
        <v>284</v>
      </c>
      <c r="B285" t="s">
        <v>411</v>
      </c>
      <c r="C285">
        <v>48</v>
      </c>
      <c r="D285">
        <v>36</v>
      </c>
      <c r="E285">
        <v>17</v>
      </c>
      <c r="F285" t="s">
        <v>703</v>
      </c>
      <c r="G285" t="s">
        <v>700</v>
      </c>
    </row>
    <row r="286" spans="1:7" x14ac:dyDescent="0.2">
      <c r="A286">
        <v>285</v>
      </c>
      <c r="B286" t="s">
        <v>410</v>
      </c>
      <c r="C286">
        <v>37</v>
      </c>
      <c r="D286">
        <v>36</v>
      </c>
      <c r="E286" t="s">
        <v>21</v>
      </c>
      <c r="F286" t="s">
        <v>703</v>
      </c>
      <c r="G286" t="s">
        <v>21</v>
      </c>
    </row>
    <row r="287" spans="1:7" x14ac:dyDescent="0.2">
      <c r="A287">
        <v>286</v>
      </c>
      <c r="B287" t="s">
        <v>409</v>
      </c>
      <c r="C287">
        <v>42</v>
      </c>
      <c r="D287">
        <v>53</v>
      </c>
      <c r="E287">
        <v>13</v>
      </c>
      <c r="F287" t="s">
        <v>703</v>
      </c>
      <c r="G287" t="s">
        <v>700</v>
      </c>
    </row>
    <row r="288" spans="1:7" x14ac:dyDescent="0.2">
      <c r="A288">
        <v>287</v>
      </c>
      <c r="B288" t="s">
        <v>408</v>
      </c>
      <c r="C288">
        <v>37</v>
      </c>
      <c r="D288">
        <v>42</v>
      </c>
      <c r="E288">
        <v>15</v>
      </c>
      <c r="F288" t="s">
        <v>703</v>
      </c>
      <c r="G288" t="s">
        <v>700</v>
      </c>
    </row>
    <row r="289" spans="1:7" x14ac:dyDescent="0.2">
      <c r="A289">
        <v>288</v>
      </c>
      <c r="B289" t="s">
        <v>407</v>
      </c>
      <c r="C289">
        <v>26</v>
      </c>
      <c r="D289">
        <v>46</v>
      </c>
      <c r="E289">
        <v>10</v>
      </c>
      <c r="F289" t="s">
        <v>701</v>
      </c>
      <c r="G289" t="s">
        <v>702</v>
      </c>
    </row>
    <row r="290" spans="1:7" x14ac:dyDescent="0.2">
      <c r="A290">
        <v>289</v>
      </c>
      <c r="B290" t="s">
        <v>406</v>
      </c>
      <c r="C290">
        <v>29</v>
      </c>
      <c r="D290">
        <v>32</v>
      </c>
      <c r="E290">
        <v>8</v>
      </c>
      <c r="F290" t="s">
        <v>703</v>
      </c>
      <c r="G290" t="s">
        <v>700</v>
      </c>
    </row>
    <row r="291" spans="1:7" x14ac:dyDescent="0.2">
      <c r="A291">
        <v>290</v>
      </c>
      <c r="B291" t="s">
        <v>405</v>
      </c>
      <c r="C291">
        <v>24</v>
      </c>
      <c r="D291">
        <v>39</v>
      </c>
      <c r="E291">
        <v>7</v>
      </c>
      <c r="F291" t="s">
        <v>703</v>
      </c>
      <c r="G291" t="s">
        <v>702</v>
      </c>
    </row>
    <row r="292" spans="1:7" x14ac:dyDescent="0.2">
      <c r="A292">
        <v>291</v>
      </c>
      <c r="B292" t="s">
        <v>404</v>
      </c>
      <c r="C292">
        <v>43</v>
      </c>
      <c r="D292">
        <v>54</v>
      </c>
      <c r="E292">
        <v>12</v>
      </c>
      <c r="F292" t="s">
        <v>703</v>
      </c>
      <c r="G292" t="s">
        <v>700</v>
      </c>
    </row>
    <row r="293" spans="1:7" x14ac:dyDescent="0.2">
      <c r="A293">
        <v>292</v>
      </c>
      <c r="B293" t="s">
        <v>403</v>
      </c>
      <c r="C293">
        <v>30</v>
      </c>
      <c r="D293">
        <v>44</v>
      </c>
      <c r="E293">
        <v>8</v>
      </c>
      <c r="F293" t="s">
        <v>703</v>
      </c>
      <c r="G293" t="s">
        <v>702</v>
      </c>
    </row>
    <row r="294" spans="1:7" x14ac:dyDescent="0.2">
      <c r="A294">
        <v>293</v>
      </c>
      <c r="B294" t="s">
        <v>402</v>
      </c>
      <c r="C294">
        <v>40</v>
      </c>
      <c r="D294">
        <v>29</v>
      </c>
      <c r="E294">
        <v>14</v>
      </c>
      <c r="F294" t="s">
        <v>703</v>
      </c>
      <c r="G294" t="s">
        <v>700</v>
      </c>
    </row>
    <row r="295" spans="1:7" x14ac:dyDescent="0.2">
      <c r="A295">
        <v>294</v>
      </c>
      <c r="B295" t="s">
        <v>401</v>
      </c>
      <c r="C295">
        <v>25</v>
      </c>
      <c r="D295">
        <v>54</v>
      </c>
      <c r="E295">
        <v>11</v>
      </c>
      <c r="F295" t="s">
        <v>703</v>
      </c>
      <c r="G295" t="s">
        <v>702</v>
      </c>
    </row>
    <row r="296" spans="1:7" x14ac:dyDescent="0.2">
      <c r="A296">
        <v>295</v>
      </c>
      <c r="B296" t="s">
        <v>400</v>
      </c>
      <c r="C296">
        <v>29</v>
      </c>
      <c r="D296">
        <v>46</v>
      </c>
      <c r="E296">
        <v>8</v>
      </c>
      <c r="F296" t="s">
        <v>701</v>
      </c>
      <c r="G296" t="s">
        <v>702</v>
      </c>
    </row>
    <row r="297" spans="1:7" x14ac:dyDescent="0.2">
      <c r="A297">
        <v>296</v>
      </c>
      <c r="B297" t="s">
        <v>399</v>
      </c>
      <c r="C297">
        <v>22</v>
      </c>
      <c r="D297">
        <v>60</v>
      </c>
      <c r="E297">
        <v>11</v>
      </c>
      <c r="F297" t="s">
        <v>701</v>
      </c>
      <c r="G297" t="s">
        <v>702</v>
      </c>
    </row>
    <row r="298" spans="1:7" x14ac:dyDescent="0.2">
      <c r="A298">
        <v>297</v>
      </c>
      <c r="B298" t="s">
        <v>398</v>
      </c>
      <c r="C298">
        <v>30</v>
      </c>
      <c r="D298">
        <v>35</v>
      </c>
      <c r="E298">
        <v>11</v>
      </c>
      <c r="F298" t="s">
        <v>701</v>
      </c>
      <c r="G298" t="s">
        <v>700</v>
      </c>
    </row>
    <row r="299" spans="1:7" x14ac:dyDescent="0.2">
      <c r="A299">
        <v>298</v>
      </c>
      <c r="B299" t="s">
        <v>397</v>
      </c>
      <c r="C299">
        <v>50</v>
      </c>
      <c r="D299">
        <v>29</v>
      </c>
      <c r="E299">
        <v>13</v>
      </c>
      <c r="F299" t="s">
        <v>703</v>
      </c>
      <c r="G299" t="s">
        <v>700</v>
      </c>
    </row>
    <row r="300" spans="1:7" x14ac:dyDescent="0.2">
      <c r="A300">
        <v>299</v>
      </c>
      <c r="B300" t="s">
        <v>396</v>
      </c>
      <c r="C300">
        <v>43</v>
      </c>
      <c r="D300">
        <v>48</v>
      </c>
      <c r="E300">
        <v>8</v>
      </c>
      <c r="F300" t="s">
        <v>701</v>
      </c>
      <c r="G300" t="s">
        <v>700</v>
      </c>
    </row>
    <row r="301" spans="1:7" x14ac:dyDescent="0.2">
      <c r="A301">
        <v>300</v>
      </c>
      <c r="B301" t="s">
        <v>395</v>
      </c>
      <c r="C301">
        <v>42</v>
      </c>
      <c r="D301">
        <v>42</v>
      </c>
      <c r="E301">
        <v>11</v>
      </c>
      <c r="F301" t="s">
        <v>703</v>
      </c>
      <c r="G301" t="s">
        <v>700</v>
      </c>
    </row>
    <row r="302" spans="1:7" x14ac:dyDescent="0.2">
      <c r="A302">
        <v>301</v>
      </c>
      <c r="B302" t="s">
        <v>394</v>
      </c>
      <c r="C302">
        <v>46</v>
      </c>
      <c r="D302">
        <v>44</v>
      </c>
      <c r="E302">
        <v>10</v>
      </c>
      <c r="F302" t="s">
        <v>701</v>
      </c>
      <c r="G302" t="s">
        <v>700</v>
      </c>
    </row>
    <row r="303" spans="1:7" x14ac:dyDescent="0.2">
      <c r="A303">
        <v>302</v>
      </c>
      <c r="B303" t="s">
        <v>393</v>
      </c>
      <c r="C303">
        <v>48</v>
      </c>
      <c r="D303">
        <v>25</v>
      </c>
      <c r="E303">
        <v>7</v>
      </c>
      <c r="F303" t="s">
        <v>703</v>
      </c>
      <c r="G303" t="s">
        <v>700</v>
      </c>
    </row>
    <row r="304" spans="1:7" x14ac:dyDescent="0.2">
      <c r="A304">
        <v>303</v>
      </c>
      <c r="B304" t="s">
        <v>392</v>
      </c>
      <c r="C304">
        <v>24</v>
      </c>
      <c r="D304">
        <v>32</v>
      </c>
      <c r="E304">
        <v>6</v>
      </c>
      <c r="F304" t="s">
        <v>703</v>
      </c>
      <c r="G304" t="s">
        <v>702</v>
      </c>
    </row>
    <row r="305" spans="1:7" x14ac:dyDescent="0.2">
      <c r="A305">
        <v>304</v>
      </c>
      <c r="B305" t="s">
        <v>391</v>
      </c>
      <c r="C305">
        <v>46</v>
      </c>
      <c r="D305">
        <v>32</v>
      </c>
      <c r="E305">
        <v>14</v>
      </c>
      <c r="F305" t="s">
        <v>701</v>
      </c>
      <c r="G305" t="s">
        <v>700</v>
      </c>
    </row>
    <row r="306" spans="1:7" x14ac:dyDescent="0.2">
      <c r="A306">
        <v>305</v>
      </c>
      <c r="B306" t="s">
        <v>390</v>
      </c>
      <c r="C306">
        <v>27</v>
      </c>
      <c r="D306">
        <v>49</v>
      </c>
      <c r="E306">
        <v>12</v>
      </c>
      <c r="F306" t="s">
        <v>701</v>
      </c>
      <c r="G306" t="s">
        <v>702</v>
      </c>
    </row>
    <row r="307" spans="1:7" x14ac:dyDescent="0.2">
      <c r="A307">
        <v>306</v>
      </c>
      <c r="B307" t="s">
        <v>389</v>
      </c>
      <c r="C307">
        <v>44</v>
      </c>
      <c r="D307">
        <v>26</v>
      </c>
      <c r="E307">
        <v>4</v>
      </c>
      <c r="F307" t="s">
        <v>701</v>
      </c>
      <c r="G307" t="s">
        <v>700</v>
      </c>
    </row>
    <row r="308" spans="1:7" x14ac:dyDescent="0.2">
      <c r="A308">
        <v>307</v>
      </c>
      <c r="B308" t="s">
        <v>388</v>
      </c>
      <c r="C308">
        <v>33</v>
      </c>
      <c r="D308">
        <v>34</v>
      </c>
      <c r="E308">
        <v>11</v>
      </c>
      <c r="F308" t="s">
        <v>703</v>
      </c>
      <c r="G308" t="s">
        <v>700</v>
      </c>
    </row>
    <row r="309" spans="1:7" x14ac:dyDescent="0.2">
      <c r="A309">
        <v>308</v>
      </c>
      <c r="B309" t="s">
        <v>387</v>
      </c>
      <c r="C309">
        <v>36</v>
      </c>
      <c r="D309">
        <v>39</v>
      </c>
      <c r="E309">
        <v>14</v>
      </c>
      <c r="F309" t="s">
        <v>703</v>
      </c>
      <c r="G309" t="s">
        <v>700</v>
      </c>
    </row>
    <row r="310" spans="1:7" x14ac:dyDescent="0.2">
      <c r="A310">
        <v>309</v>
      </c>
      <c r="B310" t="s">
        <v>386</v>
      </c>
      <c r="C310">
        <v>42</v>
      </c>
      <c r="D310">
        <v>57</v>
      </c>
      <c r="E310">
        <v>10</v>
      </c>
      <c r="F310" t="s">
        <v>701</v>
      </c>
      <c r="G310" t="s">
        <v>702</v>
      </c>
    </row>
    <row r="311" spans="1:7" x14ac:dyDescent="0.2">
      <c r="A311">
        <v>310</v>
      </c>
      <c r="B311" t="s">
        <v>385</v>
      </c>
      <c r="C311">
        <v>48</v>
      </c>
      <c r="D311">
        <v>39</v>
      </c>
      <c r="E311">
        <v>5</v>
      </c>
      <c r="F311" t="s">
        <v>701</v>
      </c>
      <c r="G311" t="s">
        <v>700</v>
      </c>
    </row>
    <row r="312" spans="1:7" x14ac:dyDescent="0.2">
      <c r="A312">
        <v>311</v>
      </c>
      <c r="B312" t="s">
        <v>384</v>
      </c>
      <c r="C312">
        <v>30</v>
      </c>
      <c r="D312">
        <v>40</v>
      </c>
      <c r="E312">
        <v>6</v>
      </c>
      <c r="F312" t="s">
        <v>701</v>
      </c>
      <c r="G312" t="s">
        <v>702</v>
      </c>
    </row>
    <row r="313" spans="1:7" x14ac:dyDescent="0.2">
      <c r="A313">
        <v>312</v>
      </c>
      <c r="B313" t="s">
        <v>383</v>
      </c>
      <c r="C313">
        <v>46</v>
      </c>
      <c r="D313">
        <v>25</v>
      </c>
      <c r="E313">
        <v>8</v>
      </c>
      <c r="F313" t="s">
        <v>703</v>
      </c>
      <c r="G313" t="s">
        <v>700</v>
      </c>
    </row>
    <row r="314" spans="1:7" x14ac:dyDescent="0.2">
      <c r="A314">
        <v>313</v>
      </c>
      <c r="B314" t="s">
        <v>382</v>
      </c>
      <c r="C314">
        <v>47</v>
      </c>
      <c r="D314">
        <v>52</v>
      </c>
      <c r="E314">
        <v>6</v>
      </c>
      <c r="F314" t="s">
        <v>703</v>
      </c>
      <c r="G314" t="s">
        <v>700</v>
      </c>
    </row>
    <row r="315" spans="1:7" x14ac:dyDescent="0.2">
      <c r="A315">
        <v>314</v>
      </c>
      <c r="B315" t="s">
        <v>381</v>
      </c>
      <c r="C315">
        <v>45</v>
      </c>
      <c r="D315">
        <v>43</v>
      </c>
      <c r="E315">
        <v>11</v>
      </c>
      <c r="F315" t="s">
        <v>701</v>
      </c>
      <c r="G315" t="s">
        <v>700</v>
      </c>
    </row>
    <row r="316" spans="1:7" x14ac:dyDescent="0.2">
      <c r="A316">
        <v>315</v>
      </c>
      <c r="B316" t="s">
        <v>380</v>
      </c>
      <c r="C316">
        <v>37</v>
      </c>
      <c r="D316">
        <v>42</v>
      </c>
      <c r="E316">
        <v>13</v>
      </c>
      <c r="F316" t="s">
        <v>703</v>
      </c>
      <c r="G316" t="s">
        <v>700</v>
      </c>
    </row>
    <row r="317" spans="1:7" x14ac:dyDescent="0.2">
      <c r="A317">
        <v>316</v>
      </c>
      <c r="B317" t="s">
        <v>379</v>
      </c>
      <c r="C317">
        <v>34</v>
      </c>
      <c r="D317">
        <v>58</v>
      </c>
      <c r="E317">
        <v>8</v>
      </c>
      <c r="F317" t="s">
        <v>703</v>
      </c>
      <c r="G317" t="s">
        <v>702</v>
      </c>
    </row>
    <row r="318" spans="1:7" x14ac:dyDescent="0.2">
      <c r="A318">
        <v>317</v>
      </c>
      <c r="B318" t="s">
        <v>378</v>
      </c>
      <c r="C318">
        <v>29</v>
      </c>
      <c r="D318">
        <v>41</v>
      </c>
      <c r="E318">
        <v>12</v>
      </c>
      <c r="F318" t="s">
        <v>701</v>
      </c>
      <c r="G318" t="s">
        <v>702</v>
      </c>
    </row>
    <row r="319" spans="1:7" x14ac:dyDescent="0.2">
      <c r="A319">
        <v>318</v>
      </c>
      <c r="B319" t="s">
        <v>377</v>
      </c>
      <c r="C319">
        <v>49</v>
      </c>
      <c r="D319">
        <v>43</v>
      </c>
      <c r="E319">
        <v>9</v>
      </c>
      <c r="F319" t="s">
        <v>703</v>
      </c>
      <c r="G319" t="s">
        <v>700</v>
      </c>
    </row>
    <row r="320" spans="1:7" x14ac:dyDescent="0.2">
      <c r="A320">
        <v>319</v>
      </c>
      <c r="B320" t="s">
        <v>376</v>
      </c>
      <c r="C320">
        <v>28</v>
      </c>
      <c r="D320">
        <v>56</v>
      </c>
      <c r="E320">
        <v>8</v>
      </c>
      <c r="F320" t="s">
        <v>701</v>
      </c>
      <c r="G320" t="s">
        <v>702</v>
      </c>
    </row>
    <row r="321" spans="1:7" x14ac:dyDescent="0.2">
      <c r="A321">
        <v>320</v>
      </c>
      <c r="B321" t="s">
        <v>375</v>
      </c>
      <c r="C321">
        <v>29</v>
      </c>
      <c r="D321">
        <v>36</v>
      </c>
      <c r="E321">
        <v>5</v>
      </c>
      <c r="F321" t="s">
        <v>703</v>
      </c>
      <c r="G321" t="s">
        <v>702</v>
      </c>
    </row>
    <row r="322" spans="1:7" x14ac:dyDescent="0.2">
      <c r="A322">
        <v>321</v>
      </c>
      <c r="B322" t="s">
        <v>374</v>
      </c>
      <c r="C322">
        <v>39</v>
      </c>
      <c r="D322">
        <v>40</v>
      </c>
      <c r="E322">
        <v>8</v>
      </c>
      <c r="F322" t="s">
        <v>701</v>
      </c>
      <c r="G322" t="s">
        <v>700</v>
      </c>
    </row>
    <row r="323" spans="1:7" x14ac:dyDescent="0.2">
      <c r="A323">
        <v>322</v>
      </c>
      <c r="B323" t="s">
        <v>373</v>
      </c>
      <c r="C323">
        <v>25</v>
      </c>
      <c r="D323">
        <v>54</v>
      </c>
      <c r="E323">
        <v>2</v>
      </c>
      <c r="F323" t="s">
        <v>703</v>
      </c>
      <c r="G323" t="s">
        <v>702</v>
      </c>
    </row>
    <row r="324" spans="1:7" x14ac:dyDescent="0.2">
      <c r="A324">
        <v>323</v>
      </c>
      <c r="B324" t="s">
        <v>372</v>
      </c>
      <c r="C324">
        <v>46</v>
      </c>
      <c r="D324">
        <v>34</v>
      </c>
      <c r="E324">
        <v>10</v>
      </c>
      <c r="F324" t="s">
        <v>701</v>
      </c>
      <c r="G324" t="s">
        <v>700</v>
      </c>
    </row>
    <row r="325" spans="1:7" x14ac:dyDescent="0.2">
      <c r="A325">
        <v>324</v>
      </c>
      <c r="B325" t="s">
        <v>371</v>
      </c>
      <c r="C325">
        <v>31</v>
      </c>
      <c r="D325">
        <v>34</v>
      </c>
      <c r="E325">
        <v>8</v>
      </c>
      <c r="F325" t="s">
        <v>703</v>
      </c>
      <c r="G325" t="s">
        <v>700</v>
      </c>
    </row>
    <row r="326" spans="1:7" x14ac:dyDescent="0.2">
      <c r="A326">
        <v>325</v>
      </c>
      <c r="B326" t="s">
        <v>370</v>
      </c>
      <c r="C326">
        <v>28</v>
      </c>
      <c r="D326">
        <v>41</v>
      </c>
      <c r="E326">
        <v>11</v>
      </c>
      <c r="F326" t="s">
        <v>701</v>
      </c>
      <c r="G326" t="s">
        <v>702</v>
      </c>
    </row>
    <row r="327" spans="1:7" x14ac:dyDescent="0.2">
      <c r="A327">
        <v>326</v>
      </c>
      <c r="B327" t="s">
        <v>369</v>
      </c>
      <c r="C327">
        <v>21</v>
      </c>
      <c r="D327">
        <v>31</v>
      </c>
      <c r="E327">
        <v>9</v>
      </c>
      <c r="F327" t="s">
        <v>701</v>
      </c>
      <c r="G327" t="s">
        <v>702</v>
      </c>
    </row>
    <row r="328" spans="1:7" x14ac:dyDescent="0.2">
      <c r="A328">
        <v>327</v>
      </c>
      <c r="B328" t="s">
        <v>368</v>
      </c>
      <c r="C328">
        <v>21</v>
      </c>
      <c r="D328">
        <v>55</v>
      </c>
      <c r="E328">
        <v>14</v>
      </c>
      <c r="F328" t="s">
        <v>703</v>
      </c>
      <c r="G328" t="s">
        <v>702</v>
      </c>
    </row>
    <row r="329" spans="1:7" x14ac:dyDescent="0.2">
      <c r="A329">
        <v>328</v>
      </c>
      <c r="B329" t="s">
        <v>367</v>
      </c>
      <c r="C329">
        <v>38</v>
      </c>
      <c r="D329">
        <v>53</v>
      </c>
      <c r="E329">
        <v>9</v>
      </c>
      <c r="F329" t="s">
        <v>703</v>
      </c>
      <c r="G329" t="s">
        <v>702</v>
      </c>
    </row>
    <row r="330" spans="1:7" x14ac:dyDescent="0.2">
      <c r="A330">
        <v>329</v>
      </c>
      <c r="B330" t="s">
        <v>366</v>
      </c>
      <c r="C330">
        <v>37</v>
      </c>
      <c r="D330">
        <v>55</v>
      </c>
      <c r="E330">
        <v>5</v>
      </c>
      <c r="F330" t="s">
        <v>703</v>
      </c>
      <c r="G330" t="s">
        <v>702</v>
      </c>
    </row>
    <row r="331" spans="1:7" x14ac:dyDescent="0.2">
      <c r="A331">
        <v>330</v>
      </c>
      <c r="B331" t="s">
        <v>365</v>
      </c>
      <c r="C331">
        <v>21</v>
      </c>
      <c r="D331">
        <v>30</v>
      </c>
      <c r="E331">
        <v>13</v>
      </c>
      <c r="F331" t="s">
        <v>703</v>
      </c>
      <c r="G331" t="s">
        <v>700</v>
      </c>
    </row>
    <row r="332" spans="1:7" x14ac:dyDescent="0.2">
      <c r="A332">
        <v>331</v>
      </c>
      <c r="B332" t="s">
        <v>364</v>
      </c>
      <c r="C332">
        <v>43</v>
      </c>
      <c r="D332">
        <v>31</v>
      </c>
      <c r="E332">
        <v>12</v>
      </c>
      <c r="F332" t="s">
        <v>703</v>
      </c>
      <c r="G332" t="s">
        <v>700</v>
      </c>
    </row>
    <row r="333" spans="1:7" x14ac:dyDescent="0.2">
      <c r="A333">
        <v>332</v>
      </c>
      <c r="B333" t="s">
        <v>363</v>
      </c>
      <c r="C333">
        <v>45</v>
      </c>
      <c r="D333">
        <v>33</v>
      </c>
      <c r="E333">
        <v>9</v>
      </c>
      <c r="F333" t="s">
        <v>701</v>
      </c>
      <c r="G333" t="s">
        <v>700</v>
      </c>
    </row>
    <row r="334" spans="1:7" x14ac:dyDescent="0.2">
      <c r="A334">
        <v>333</v>
      </c>
      <c r="B334" t="s">
        <v>362</v>
      </c>
      <c r="C334">
        <v>30</v>
      </c>
      <c r="D334">
        <v>46</v>
      </c>
      <c r="E334">
        <v>15</v>
      </c>
      <c r="F334" t="s">
        <v>701</v>
      </c>
      <c r="G334" t="s">
        <v>702</v>
      </c>
    </row>
    <row r="335" spans="1:7" x14ac:dyDescent="0.2">
      <c r="A335">
        <v>334</v>
      </c>
      <c r="B335" t="s">
        <v>361</v>
      </c>
      <c r="C335">
        <v>37</v>
      </c>
      <c r="D335">
        <v>28</v>
      </c>
      <c r="E335">
        <v>13</v>
      </c>
      <c r="F335" t="s">
        <v>703</v>
      </c>
      <c r="G335" t="s">
        <v>700</v>
      </c>
    </row>
    <row r="336" spans="1:7" x14ac:dyDescent="0.2">
      <c r="A336">
        <v>335</v>
      </c>
      <c r="B336" t="s">
        <v>360</v>
      </c>
      <c r="C336">
        <v>39</v>
      </c>
      <c r="D336">
        <v>46</v>
      </c>
      <c r="E336">
        <v>12</v>
      </c>
      <c r="F336" t="s">
        <v>703</v>
      </c>
      <c r="G336" t="s">
        <v>700</v>
      </c>
    </row>
    <row r="337" spans="1:7" x14ac:dyDescent="0.2">
      <c r="A337">
        <v>336</v>
      </c>
      <c r="B337" t="s">
        <v>359</v>
      </c>
      <c r="C337">
        <v>42</v>
      </c>
      <c r="D337">
        <v>59</v>
      </c>
      <c r="E337">
        <v>5</v>
      </c>
      <c r="F337" t="s">
        <v>701</v>
      </c>
      <c r="G337" t="s">
        <v>702</v>
      </c>
    </row>
    <row r="338" spans="1:7" x14ac:dyDescent="0.2">
      <c r="A338">
        <v>337</v>
      </c>
      <c r="B338" t="s">
        <v>358</v>
      </c>
      <c r="C338">
        <v>20</v>
      </c>
      <c r="D338">
        <v>28</v>
      </c>
      <c r="E338">
        <v>12</v>
      </c>
      <c r="F338" t="s">
        <v>701</v>
      </c>
      <c r="G338" t="s">
        <v>700</v>
      </c>
    </row>
    <row r="339" spans="1:7" x14ac:dyDescent="0.2">
      <c r="A339">
        <v>338</v>
      </c>
      <c r="B339" t="s">
        <v>357</v>
      </c>
      <c r="C339">
        <v>39</v>
      </c>
      <c r="D339">
        <v>57</v>
      </c>
      <c r="E339">
        <v>9</v>
      </c>
      <c r="F339" t="s">
        <v>703</v>
      </c>
      <c r="G339" t="s">
        <v>702</v>
      </c>
    </row>
    <row r="340" spans="1:7" x14ac:dyDescent="0.2">
      <c r="A340">
        <v>339</v>
      </c>
      <c r="B340" t="s">
        <v>356</v>
      </c>
      <c r="C340">
        <v>46</v>
      </c>
      <c r="D340">
        <v>31</v>
      </c>
      <c r="E340">
        <v>7</v>
      </c>
      <c r="F340" t="s">
        <v>703</v>
      </c>
      <c r="G340" t="s">
        <v>700</v>
      </c>
    </row>
    <row r="341" spans="1:7" x14ac:dyDescent="0.2">
      <c r="A341">
        <v>340</v>
      </c>
      <c r="B341" t="s">
        <v>355</v>
      </c>
      <c r="C341">
        <v>42</v>
      </c>
      <c r="D341">
        <v>50</v>
      </c>
      <c r="E341">
        <v>6</v>
      </c>
      <c r="F341" t="s">
        <v>701</v>
      </c>
      <c r="G341" t="s">
        <v>702</v>
      </c>
    </row>
    <row r="342" spans="1:7" x14ac:dyDescent="0.2">
      <c r="A342">
        <v>341</v>
      </c>
      <c r="B342" t="s">
        <v>354</v>
      </c>
      <c r="C342">
        <v>23</v>
      </c>
      <c r="D342">
        <v>30</v>
      </c>
      <c r="E342">
        <v>9</v>
      </c>
      <c r="F342" t="s">
        <v>701</v>
      </c>
      <c r="G342" t="s">
        <v>700</v>
      </c>
    </row>
    <row r="343" spans="1:7" x14ac:dyDescent="0.2">
      <c r="A343">
        <v>342</v>
      </c>
      <c r="B343" t="s">
        <v>353</v>
      </c>
      <c r="C343">
        <v>20</v>
      </c>
      <c r="D343">
        <v>36</v>
      </c>
      <c r="E343">
        <v>6</v>
      </c>
      <c r="F343" t="s">
        <v>701</v>
      </c>
      <c r="G343" t="s">
        <v>702</v>
      </c>
    </row>
    <row r="344" spans="1:7" x14ac:dyDescent="0.2">
      <c r="A344">
        <v>343</v>
      </c>
      <c r="B344" t="s">
        <v>352</v>
      </c>
      <c r="C344">
        <v>40</v>
      </c>
      <c r="D344">
        <v>54</v>
      </c>
      <c r="E344">
        <v>11</v>
      </c>
      <c r="F344" t="s">
        <v>701</v>
      </c>
      <c r="G344" t="s">
        <v>702</v>
      </c>
    </row>
    <row r="345" spans="1:7" x14ac:dyDescent="0.2">
      <c r="A345">
        <v>344</v>
      </c>
      <c r="B345" t="s">
        <v>351</v>
      </c>
      <c r="C345">
        <v>34</v>
      </c>
      <c r="D345">
        <v>37</v>
      </c>
      <c r="E345">
        <v>11</v>
      </c>
      <c r="F345" t="s">
        <v>701</v>
      </c>
      <c r="G345" t="s">
        <v>700</v>
      </c>
    </row>
    <row r="346" spans="1:7" x14ac:dyDescent="0.2">
      <c r="A346">
        <v>345</v>
      </c>
      <c r="B346" t="s">
        <v>350</v>
      </c>
      <c r="C346">
        <v>34</v>
      </c>
      <c r="D346">
        <v>35</v>
      </c>
      <c r="E346">
        <v>10</v>
      </c>
      <c r="F346" t="s">
        <v>701</v>
      </c>
      <c r="G346" t="s">
        <v>700</v>
      </c>
    </row>
    <row r="347" spans="1:7" x14ac:dyDescent="0.2">
      <c r="A347">
        <v>346</v>
      </c>
      <c r="B347" t="s">
        <v>349</v>
      </c>
      <c r="C347">
        <v>36</v>
      </c>
      <c r="D347">
        <v>54</v>
      </c>
      <c r="E347">
        <v>15</v>
      </c>
      <c r="F347" t="s">
        <v>703</v>
      </c>
      <c r="G347" t="s">
        <v>702</v>
      </c>
    </row>
    <row r="348" spans="1:7" x14ac:dyDescent="0.2">
      <c r="A348">
        <v>347</v>
      </c>
      <c r="B348" t="s">
        <v>348</v>
      </c>
      <c r="C348">
        <v>45</v>
      </c>
      <c r="D348">
        <v>51</v>
      </c>
      <c r="E348">
        <v>13</v>
      </c>
      <c r="F348" t="s">
        <v>701</v>
      </c>
      <c r="G348" t="s">
        <v>700</v>
      </c>
    </row>
    <row r="349" spans="1:7" x14ac:dyDescent="0.2">
      <c r="A349">
        <v>348</v>
      </c>
      <c r="B349" t="s">
        <v>347</v>
      </c>
      <c r="C349">
        <v>25</v>
      </c>
      <c r="D349">
        <v>31</v>
      </c>
      <c r="E349">
        <v>10</v>
      </c>
      <c r="F349" t="s">
        <v>701</v>
      </c>
      <c r="G349" t="s">
        <v>700</v>
      </c>
    </row>
    <row r="350" spans="1:7" x14ac:dyDescent="0.2">
      <c r="A350">
        <v>349</v>
      </c>
      <c r="B350" t="s">
        <v>346</v>
      </c>
      <c r="C350">
        <v>36</v>
      </c>
      <c r="D350">
        <v>53</v>
      </c>
      <c r="E350">
        <v>10</v>
      </c>
      <c r="F350" t="s">
        <v>701</v>
      </c>
      <c r="G350" t="s">
        <v>702</v>
      </c>
    </row>
    <row r="351" spans="1:7" x14ac:dyDescent="0.2">
      <c r="A351">
        <v>350</v>
      </c>
      <c r="B351" t="s">
        <v>345</v>
      </c>
      <c r="C351">
        <v>38</v>
      </c>
      <c r="D351">
        <v>51</v>
      </c>
      <c r="E351">
        <v>10</v>
      </c>
      <c r="F351" t="s">
        <v>703</v>
      </c>
      <c r="G351" t="s">
        <v>702</v>
      </c>
    </row>
    <row r="352" spans="1:7" x14ac:dyDescent="0.2">
      <c r="A352">
        <v>351</v>
      </c>
      <c r="B352" t="s">
        <v>344</v>
      </c>
      <c r="C352">
        <v>34</v>
      </c>
      <c r="D352">
        <v>34</v>
      </c>
      <c r="E352">
        <v>14</v>
      </c>
      <c r="F352" t="s">
        <v>703</v>
      </c>
      <c r="G352" t="s">
        <v>700</v>
      </c>
    </row>
    <row r="353" spans="1:7" x14ac:dyDescent="0.2">
      <c r="A353">
        <v>352</v>
      </c>
      <c r="B353" t="s">
        <v>343</v>
      </c>
      <c r="C353">
        <v>24</v>
      </c>
      <c r="D353">
        <v>50</v>
      </c>
      <c r="E353">
        <v>13</v>
      </c>
      <c r="F353" t="s">
        <v>703</v>
      </c>
      <c r="G353" t="s">
        <v>702</v>
      </c>
    </row>
    <row r="354" spans="1:7" x14ac:dyDescent="0.2">
      <c r="A354">
        <v>353</v>
      </c>
      <c r="B354" t="s">
        <v>342</v>
      </c>
      <c r="C354">
        <v>38</v>
      </c>
      <c r="D354">
        <v>28</v>
      </c>
      <c r="E354">
        <v>11</v>
      </c>
      <c r="F354" t="s">
        <v>703</v>
      </c>
      <c r="G354" t="s">
        <v>700</v>
      </c>
    </row>
    <row r="355" spans="1:7" x14ac:dyDescent="0.2">
      <c r="A355">
        <v>354</v>
      </c>
      <c r="B355" t="s">
        <v>341</v>
      </c>
      <c r="C355">
        <v>42</v>
      </c>
      <c r="D355">
        <v>38</v>
      </c>
      <c r="E355">
        <v>10</v>
      </c>
      <c r="F355" t="s">
        <v>701</v>
      </c>
      <c r="G355" t="s">
        <v>700</v>
      </c>
    </row>
    <row r="356" spans="1:7" x14ac:dyDescent="0.2">
      <c r="A356">
        <v>355</v>
      </c>
      <c r="B356" t="s">
        <v>340</v>
      </c>
      <c r="C356">
        <v>35</v>
      </c>
      <c r="D356">
        <v>28</v>
      </c>
      <c r="E356">
        <v>13</v>
      </c>
      <c r="F356" t="s">
        <v>703</v>
      </c>
      <c r="G356" t="s">
        <v>700</v>
      </c>
    </row>
    <row r="357" spans="1:7" x14ac:dyDescent="0.2">
      <c r="A357">
        <v>356</v>
      </c>
      <c r="B357" t="s">
        <v>339</v>
      </c>
      <c r="C357">
        <v>27</v>
      </c>
      <c r="D357">
        <v>34</v>
      </c>
      <c r="E357">
        <v>10</v>
      </c>
      <c r="F357" t="s">
        <v>701</v>
      </c>
      <c r="G357" t="s">
        <v>700</v>
      </c>
    </row>
    <row r="358" spans="1:7" x14ac:dyDescent="0.2">
      <c r="A358">
        <v>357</v>
      </c>
      <c r="B358" t="s">
        <v>338</v>
      </c>
      <c r="C358">
        <v>39</v>
      </c>
      <c r="D358">
        <v>26</v>
      </c>
      <c r="E358">
        <v>7</v>
      </c>
      <c r="F358" t="s">
        <v>701</v>
      </c>
      <c r="G358" t="s">
        <v>700</v>
      </c>
    </row>
    <row r="359" spans="1:7" x14ac:dyDescent="0.2">
      <c r="A359">
        <v>358</v>
      </c>
      <c r="B359" t="s">
        <v>337</v>
      </c>
      <c r="C359">
        <v>44</v>
      </c>
      <c r="D359">
        <v>28</v>
      </c>
      <c r="E359">
        <v>9</v>
      </c>
      <c r="F359" t="s">
        <v>703</v>
      </c>
      <c r="G359" t="s">
        <v>700</v>
      </c>
    </row>
    <row r="360" spans="1:7" x14ac:dyDescent="0.2">
      <c r="A360">
        <v>359</v>
      </c>
      <c r="B360" t="s">
        <v>336</v>
      </c>
      <c r="C360">
        <v>48</v>
      </c>
      <c r="D360">
        <v>46</v>
      </c>
      <c r="E360">
        <v>8</v>
      </c>
      <c r="F360" t="s">
        <v>703</v>
      </c>
      <c r="G360" t="s">
        <v>700</v>
      </c>
    </row>
    <row r="361" spans="1:7" x14ac:dyDescent="0.2">
      <c r="A361">
        <v>360</v>
      </c>
      <c r="B361" t="s">
        <v>335</v>
      </c>
      <c r="C361">
        <v>43</v>
      </c>
      <c r="D361">
        <v>57</v>
      </c>
      <c r="E361">
        <v>12</v>
      </c>
      <c r="F361" t="s">
        <v>701</v>
      </c>
      <c r="G361" t="s">
        <v>702</v>
      </c>
    </row>
    <row r="362" spans="1:7" x14ac:dyDescent="0.2">
      <c r="A362">
        <v>361</v>
      </c>
      <c r="B362" t="s">
        <v>334</v>
      </c>
      <c r="C362">
        <v>34</v>
      </c>
      <c r="D362">
        <v>28</v>
      </c>
      <c r="E362">
        <v>7</v>
      </c>
      <c r="F362" t="s">
        <v>701</v>
      </c>
      <c r="G362" t="s">
        <v>700</v>
      </c>
    </row>
    <row r="363" spans="1:7" x14ac:dyDescent="0.2">
      <c r="A363">
        <v>362</v>
      </c>
      <c r="B363" t="s">
        <v>333</v>
      </c>
      <c r="C363">
        <v>44</v>
      </c>
      <c r="D363">
        <v>25</v>
      </c>
      <c r="E363">
        <v>7</v>
      </c>
      <c r="F363" t="s">
        <v>703</v>
      </c>
      <c r="G363" t="s">
        <v>700</v>
      </c>
    </row>
    <row r="364" spans="1:7" x14ac:dyDescent="0.2">
      <c r="A364">
        <v>363</v>
      </c>
      <c r="B364" t="s">
        <v>332</v>
      </c>
      <c r="C364">
        <v>28</v>
      </c>
      <c r="D364">
        <v>50</v>
      </c>
      <c r="E364">
        <v>15</v>
      </c>
      <c r="F364" t="s">
        <v>701</v>
      </c>
      <c r="G364" t="s">
        <v>702</v>
      </c>
    </row>
    <row r="365" spans="1:7" x14ac:dyDescent="0.2">
      <c r="A365">
        <v>364</v>
      </c>
      <c r="B365" t="s">
        <v>331</v>
      </c>
      <c r="C365">
        <v>43</v>
      </c>
      <c r="D365">
        <v>49</v>
      </c>
      <c r="E365">
        <v>11</v>
      </c>
      <c r="F365" t="s">
        <v>701</v>
      </c>
      <c r="G365" t="s">
        <v>700</v>
      </c>
    </row>
    <row r="366" spans="1:7" x14ac:dyDescent="0.2">
      <c r="A366">
        <v>365</v>
      </c>
      <c r="B366" t="s">
        <v>330</v>
      </c>
      <c r="C366">
        <v>48</v>
      </c>
      <c r="D366">
        <v>46</v>
      </c>
      <c r="E366">
        <v>7</v>
      </c>
      <c r="F366" t="s">
        <v>701</v>
      </c>
      <c r="G366" t="s">
        <v>700</v>
      </c>
    </row>
    <row r="367" spans="1:7" x14ac:dyDescent="0.2">
      <c r="A367">
        <v>366</v>
      </c>
      <c r="B367" t="s">
        <v>329</v>
      </c>
      <c r="C367">
        <v>35</v>
      </c>
      <c r="D367">
        <v>32</v>
      </c>
      <c r="E367">
        <v>7</v>
      </c>
      <c r="F367" t="s">
        <v>703</v>
      </c>
      <c r="G367" t="s">
        <v>700</v>
      </c>
    </row>
    <row r="368" spans="1:7" x14ac:dyDescent="0.2">
      <c r="A368">
        <v>367</v>
      </c>
      <c r="B368" t="s">
        <v>328</v>
      </c>
      <c r="C368">
        <v>32</v>
      </c>
      <c r="D368">
        <v>34</v>
      </c>
      <c r="E368">
        <v>8</v>
      </c>
      <c r="F368" t="s">
        <v>703</v>
      </c>
      <c r="G368" t="s">
        <v>700</v>
      </c>
    </row>
    <row r="369" spans="1:7" x14ac:dyDescent="0.2">
      <c r="A369">
        <v>368</v>
      </c>
      <c r="B369" t="s">
        <v>327</v>
      </c>
      <c r="C369">
        <v>50</v>
      </c>
      <c r="D369">
        <v>31</v>
      </c>
      <c r="E369">
        <v>8</v>
      </c>
      <c r="F369" t="s">
        <v>701</v>
      </c>
      <c r="G369" t="s">
        <v>700</v>
      </c>
    </row>
    <row r="370" spans="1:7" x14ac:dyDescent="0.2">
      <c r="A370">
        <v>369</v>
      </c>
      <c r="B370" t="s">
        <v>326</v>
      </c>
      <c r="C370">
        <v>35</v>
      </c>
      <c r="D370">
        <v>41</v>
      </c>
      <c r="E370">
        <v>16</v>
      </c>
      <c r="F370" t="s">
        <v>701</v>
      </c>
      <c r="G370" t="s">
        <v>700</v>
      </c>
    </row>
    <row r="371" spans="1:7" x14ac:dyDescent="0.2">
      <c r="A371">
        <v>370</v>
      </c>
      <c r="B371" t="s">
        <v>325</v>
      </c>
      <c r="C371">
        <v>31</v>
      </c>
      <c r="D371">
        <v>28</v>
      </c>
      <c r="E371">
        <v>4</v>
      </c>
      <c r="F371" t="s">
        <v>701</v>
      </c>
      <c r="G371" t="s">
        <v>700</v>
      </c>
    </row>
    <row r="372" spans="1:7" x14ac:dyDescent="0.2">
      <c r="A372">
        <v>371</v>
      </c>
      <c r="B372" t="s">
        <v>324</v>
      </c>
      <c r="C372">
        <v>21</v>
      </c>
      <c r="D372">
        <v>46</v>
      </c>
      <c r="E372">
        <v>14</v>
      </c>
      <c r="F372" t="s">
        <v>703</v>
      </c>
      <c r="G372" t="s">
        <v>702</v>
      </c>
    </row>
    <row r="373" spans="1:7" x14ac:dyDescent="0.2">
      <c r="A373">
        <v>372</v>
      </c>
      <c r="B373" t="s">
        <v>323</v>
      </c>
      <c r="C373">
        <v>32</v>
      </c>
      <c r="D373">
        <v>34</v>
      </c>
      <c r="E373">
        <v>8</v>
      </c>
      <c r="F373" t="s">
        <v>703</v>
      </c>
      <c r="G373" t="s">
        <v>700</v>
      </c>
    </row>
    <row r="374" spans="1:7" x14ac:dyDescent="0.2">
      <c r="A374">
        <v>373</v>
      </c>
      <c r="B374" t="s">
        <v>322</v>
      </c>
      <c r="C374">
        <v>34</v>
      </c>
      <c r="D374">
        <v>58</v>
      </c>
      <c r="E374">
        <v>10</v>
      </c>
      <c r="F374" t="s">
        <v>703</v>
      </c>
      <c r="G374" t="s">
        <v>702</v>
      </c>
    </row>
    <row r="375" spans="1:7" x14ac:dyDescent="0.2">
      <c r="A375">
        <v>374</v>
      </c>
      <c r="B375" t="s">
        <v>321</v>
      </c>
      <c r="C375">
        <v>24</v>
      </c>
      <c r="D375">
        <v>42</v>
      </c>
      <c r="E375">
        <v>14</v>
      </c>
      <c r="F375" t="s">
        <v>703</v>
      </c>
      <c r="G375" t="s">
        <v>702</v>
      </c>
    </row>
    <row r="376" spans="1:7" x14ac:dyDescent="0.2">
      <c r="A376">
        <v>375</v>
      </c>
      <c r="B376" t="s">
        <v>320</v>
      </c>
      <c r="C376">
        <v>37</v>
      </c>
      <c r="D376">
        <v>53</v>
      </c>
      <c r="E376">
        <v>13</v>
      </c>
      <c r="F376" t="s">
        <v>703</v>
      </c>
      <c r="G376" t="s">
        <v>702</v>
      </c>
    </row>
    <row r="377" spans="1:7" x14ac:dyDescent="0.2">
      <c r="A377">
        <v>376</v>
      </c>
      <c r="B377" t="s">
        <v>319</v>
      </c>
      <c r="C377">
        <v>21</v>
      </c>
      <c r="D377">
        <v>40</v>
      </c>
      <c r="E377">
        <v>13</v>
      </c>
      <c r="F377" t="s">
        <v>703</v>
      </c>
      <c r="G377" t="s">
        <v>702</v>
      </c>
    </row>
    <row r="378" spans="1:7" x14ac:dyDescent="0.2">
      <c r="A378">
        <v>377</v>
      </c>
      <c r="B378" t="s">
        <v>318</v>
      </c>
      <c r="C378">
        <v>40</v>
      </c>
      <c r="D378">
        <v>60</v>
      </c>
      <c r="E378">
        <v>14</v>
      </c>
      <c r="F378" t="s">
        <v>703</v>
      </c>
      <c r="G378" t="s">
        <v>702</v>
      </c>
    </row>
    <row r="379" spans="1:7" x14ac:dyDescent="0.2">
      <c r="A379">
        <v>378</v>
      </c>
      <c r="B379" t="s">
        <v>317</v>
      </c>
      <c r="C379">
        <v>36</v>
      </c>
      <c r="D379">
        <v>60</v>
      </c>
      <c r="E379">
        <v>8</v>
      </c>
      <c r="F379" t="s">
        <v>701</v>
      </c>
      <c r="G379" t="s">
        <v>702</v>
      </c>
    </row>
    <row r="380" spans="1:7" x14ac:dyDescent="0.2">
      <c r="A380">
        <v>379</v>
      </c>
      <c r="B380" t="s">
        <v>316</v>
      </c>
      <c r="C380">
        <v>40</v>
      </c>
      <c r="D380">
        <v>36</v>
      </c>
      <c r="E380">
        <v>12</v>
      </c>
      <c r="F380" t="s">
        <v>703</v>
      </c>
      <c r="G380" t="s">
        <v>700</v>
      </c>
    </row>
    <row r="381" spans="1:7" x14ac:dyDescent="0.2">
      <c r="A381">
        <v>380</v>
      </c>
      <c r="B381" t="s">
        <v>315</v>
      </c>
      <c r="C381">
        <v>44</v>
      </c>
      <c r="D381">
        <v>29</v>
      </c>
      <c r="E381">
        <v>13</v>
      </c>
      <c r="F381" t="s">
        <v>703</v>
      </c>
      <c r="G381" t="s">
        <v>700</v>
      </c>
    </row>
    <row r="382" spans="1:7" x14ac:dyDescent="0.2">
      <c r="A382">
        <v>381</v>
      </c>
      <c r="B382" t="s">
        <v>314</v>
      </c>
      <c r="C382">
        <v>21</v>
      </c>
      <c r="D382">
        <v>35</v>
      </c>
      <c r="E382">
        <v>13</v>
      </c>
      <c r="F382" t="s">
        <v>703</v>
      </c>
      <c r="G382" t="s">
        <v>702</v>
      </c>
    </row>
    <row r="383" spans="1:7" x14ac:dyDescent="0.2">
      <c r="A383">
        <v>382</v>
      </c>
      <c r="B383" t="s">
        <v>313</v>
      </c>
      <c r="C383">
        <v>20</v>
      </c>
      <c r="D383">
        <v>59</v>
      </c>
      <c r="E383">
        <v>8</v>
      </c>
      <c r="F383" t="s">
        <v>703</v>
      </c>
      <c r="G383" t="s">
        <v>702</v>
      </c>
    </row>
    <row r="384" spans="1:7" x14ac:dyDescent="0.2">
      <c r="A384">
        <v>383</v>
      </c>
      <c r="B384" t="s">
        <v>312</v>
      </c>
      <c r="C384">
        <v>37</v>
      </c>
      <c r="D384">
        <v>40</v>
      </c>
      <c r="E384">
        <v>9</v>
      </c>
      <c r="F384" t="s">
        <v>703</v>
      </c>
      <c r="G384" t="s">
        <v>700</v>
      </c>
    </row>
    <row r="385" spans="1:7" x14ac:dyDescent="0.2">
      <c r="A385">
        <v>384</v>
      </c>
      <c r="B385" t="s">
        <v>311</v>
      </c>
      <c r="C385">
        <v>39</v>
      </c>
      <c r="D385">
        <v>55</v>
      </c>
      <c r="E385">
        <v>13</v>
      </c>
      <c r="F385" t="s">
        <v>701</v>
      </c>
      <c r="G385" t="s">
        <v>702</v>
      </c>
    </row>
    <row r="386" spans="1:7" x14ac:dyDescent="0.2">
      <c r="A386">
        <v>385</v>
      </c>
      <c r="B386" t="s">
        <v>310</v>
      </c>
      <c r="C386">
        <v>34</v>
      </c>
      <c r="D386">
        <v>49</v>
      </c>
      <c r="E386">
        <v>11</v>
      </c>
      <c r="F386" t="s">
        <v>701</v>
      </c>
      <c r="G386" t="s">
        <v>702</v>
      </c>
    </row>
    <row r="387" spans="1:7" x14ac:dyDescent="0.2">
      <c r="A387">
        <v>386</v>
      </c>
      <c r="B387" t="s">
        <v>309</v>
      </c>
      <c r="C387">
        <v>26</v>
      </c>
      <c r="D387">
        <v>29</v>
      </c>
      <c r="E387">
        <v>17</v>
      </c>
      <c r="F387" t="s">
        <v>703</v>
      </c>
      <c r="G387" t="s">
        <v>700</v>
      </c>
    </row>
    <row r="388" spans="1:7" x14ac:dyDescent="0.2">
      <c r="A388">
        <v>387</v>
      </c>
      <c r="B388" t="s">
        <v>308</v>
      </c>
      <c r="C388">
        <v>28</v>
      </c>
      <c r="D388">
        <v>32</v>
      </c>
      <c r="E388">
        <v>16</v>
      </c>
      <c r="F388" t="s">
        <v>703</v>
      </c>
      <c r="G388" t="s">
        <v>700</v>
      </c>
    </row>
    <row r="389" spans="1:7" x14ac:dyDescent="0.2">
      <c r="A389">
        <v>388</v>
      </c>
      <c r="B389" t="s">
        <v>307</v>
      </c>
      <c r="C389">
        <v>30</v>
      </c>
      <c r="D389">
        <v>30</v>
      </c>
      <c r="E389">
        <v>7</v>
      </c>
      <c r="F389" t="s">
        <v>701</v>
      </c>
      <c r="G389" t="s">
        <v>700</v>
      </c>
    </row>
    <row r="390" spans="1:7" x14ac:dyDescent="0.2">
      <c r="A390">
        <v>389</v>
      </c>
      <c r="B390" t="s">
        <v>306</v>
      </c>
      <c r="C390">
        <v>34</v>
      </c>
      <c r="D390">
        <v>29</v>
      </c>
      <c r="E390">
        <v>4</v>
      </c>
      <c r="F390" t="s">
        <v>701</v>
      </c>
      <c r="G390" t="s">
        <v>700</v>
      </c>
    </row>
    <row r="391" spans="1:7" x14ac:dyDescent="0.2">
      <c r="A391">
        <v>390</v>
      </c>
      <c r="B391" t="s">
        <v>305</v>
      </c>
      <c r="C391">
        <v>39</v>
      </c>
      <c r="D391">
        <v>44</v>
      </c>
      <c r="E391">
        <v>8</v>
      </c>
      <c r="F391" t="s">
        <v>701</v>
      </c>
      <c r="G391" t="s">
        <v>700</v>
      </c>
    </row>
    <row r="392" spans="1:7" x14ac:dyDescent="0.2">
      <c r="A392">
        <v>391</v>
      </c>
      <c r="B392" t="s">
        <v>304</v>
      </c>
      <c r="C392">
        <v>44</v>
      </c>
      <c r="D392">
        <v>50</v>
      </c>
      <c r="E392">
        <v>10</v>
      </c>
      <c r="F392" t="s">
        <v>703</v>
      </c>
      <c r="G392" t="s">
        <v>700</v>
      </c>
    </row>
    <row r="393" spans="1:7" x14ac:dyDescent="0.2">
      <c r="A393">
        <v>392</v>
      </c>
      <c r="B393" t="s">
        <v>303</v>
      </c>
      <c r="C393">
        <v>47</v>
      </c>
      <c r="D393">
        <v>34</v>
      </c>
      <c r="E393">
        <v>12</v>
      </c>
      <c r="F393" t="s">
        <v>701</v>
      </c>
      <c r="G393" t="s">
        <v>700</v>
      </c>
    </row>
    <row r="394" spans="1:7" x14ac:dyDescent="0.2">
      <c r="A394">
        <v>393</v>
      </c>
      <c r="B394" t="s">
        <v>302</v>
      </c>
      <c r="C394">
        <v>27</v>
      </c>
      <c r="D394">
        <v>32</v>
      </c>
      <c r="E394">
        <v>8</v>
      </c>
      <c r="F394" t="s">
        <v>703</v>
      </c>
      <c r="G394" t="s">
        <v>700</v>
      </c>
    </row>
    <row r="395" spans="1:7" x14ac:dyDescent="0.2">
      <c r="A395">
        <v>394</v>
      </c>
      <c r="B395" t="s">
        <v>301</v>
      </c>
      <c r="C395">
        <v>46</v>
      </c>
      <c r="D395">
        <v>41</v>
      </c>
      <c r="E395">
        <v>10</v>
      </c>
      <c r="F395" t="s">
        <v>701</v>
      </c>
      <c r="G395" t="s">
        <v>700</v>
      </c>
    </row>
    <row r="396" spans="1:7" x14ac:dyDescent="0.2">
      <c r="A396">
        <v>395</v>
      </c>
      <c r="B396" t="s">
        <v>300</v>
      </c>
      <c r="C396">
        <v>42</v>
      </c>
      <c r="D396">
        <v>49</v>
      </c>
      <c r="E396">
        <v>14</v>
      </c>
      <c r="F396" t="s">
        <v>701</v>
      </c>
      <c r="G396" t="s">
        <v>700</v>
      </c>
    </row>
    <row r="397" spans="1:7" x14ac:dyDescent="0.2">
      <c r="A397">
        <v>396</v>
      </c>
      <c r="B397" t="s">
        <v>299</v>
      </c>
      <c r="C397">
        <v>43</v>
      </c>
      <c r="D397">
        <v>56</v>
      </c>
      <c r="E397">
        <v>9</v>
      </c>
      <c r="F397" t="s">
        <v>703</v>
      </c>
      <c r="G397" t="s">
        <v>702</v>
      </c>
    </row>
    <row r="398" spans="1:7" x14ac:dyDescent="0.2">
      <c r="A398">
        <v>397</v>
      </c>
      <c r="B398" t="s">
        <v>298</v>
      </c>
      <c r="C398">
        <v>24</v>
      </c>
      <c r="D398">
        <v>59</v>
      </c>
      <c r="E398">
        <v>13</v>
      </c>
      <c r="F398" t="s">
        <v>703</v>
      </c>
      <c r="G398" t="s">
        <v>702</v>
      </c>
    </row>
    <row r="399" spans="1:7" x14ac:dyDescent="0.2">
      <c r="A399">
        <v>398</v>
      </c>
      <c r="B399" t="s">
        <v>297</v>
      </c>
      <c r="C399">
        <v>42</v>
      </c>
      <c r="D399">
        <v>34</v>
      </c>
      <c r="E399">
        <v>10</v>
      </c>
      <c r="F399" t="s">
        <v>703</v>
      </c>
      <c r="G399" t="s">
        <v>700</v>
      </c>
    </row>
    <row r="400" spans="1:7" x14ac:dyDescent="0.2">
      <c r="A400">
        <v>399</v>
      </c>
      <c r="B400" t="s">
        <v>296</v>
      </c>
      <c r="C400">
        <v>46</v>
      </c>
      <c r="D400">
        <v>42</v>
      </c>
      <c r="E400">
        <v>11</v>
      </c>
      <c r="F400" t="s">
        <v>701</v>
      </c>
      <c r="G400" t="s">
        <v>700</v>
      </c>
    </row>
    <row r="401" spans="1:7" x14ac:dyDescent="0.2">
      <c r="A401">
        <v>400</v>
      </c>
      <c r="B401" t="s">
        <v>295</v>
      </c>
      <c r="C401">
        <v>36</v>
      </c>
      <c r="D401">
        <v>46</v>
      </c>
      <c r="E401" t="s">
        <v>21</v>
      </c>
      <c r="F401" t="s">
        <v>703</v>
      </c>
      <c r="G401" t="s">
        <v>21</v>
      </c>
    </row>
    <row r="402" spans="1:7" x14ac:dyDescent="0.2">
      <c r="A402">
        <v>401</v>
      </c>
      <c r="B402" t="s">
        <v>294</v>
      </c>
      <c r="C402">
        <v>28</v>
      </c>
      <c r="D402">
        <v>35</v>
      </c>
      <c r="E402">
        <v>9</v>
      </c>
      <c r="F402" t="s">
        <v>701</v>
      </c>
      <c r="G402" t="s">
        <v>700</v>
      </c>
    </row>
    <row r="403" spans="1:7" x14ac:dyDescent="0.2">
      <c r="A403">
        <v>402</v>
      </c>
      <c r="B403" t="s">
        <v>293</v>
      </c>
      <c r="C403">
        <v>44</v>
      </c>
      <c r="D403">
        <v>43</v>
      </c>
      <c r="E403">
        <v>10</v>
      </c>
      <c r="F403" t="s">
        <v>703</v>
      </c>
      <c r="G403" t="s">
        <v>700</v>
      </c>
    </row>
    <row r="404" spans="1:7" x14ac:dyDescent="0.2">
      <c r="A404">
        <v>403</v>
      </c>
      <c r="B404" t="s">
        <v>292</v>
      </c>
      <c r="C404">
        <v>46</v>
      </c>
      <c r="D404">
        <v>27</v>
      </c>
      <c r="E404">
        <v>10</v>
      </c>
      <c r="F404" t="s">
        <v>703</v>
      </c>
      <c r="G404" t="s">
        <v>700</v>
      </c>
    </row>
    <row r="405" spans="1:7" x14ac:dyDescent="0.2">
      <c r="A405">
        <v>404</v>
      </c>
      <c r="B405" t="s">
        <v>291</v>
      </c>
      <c r="C405">
        <v>26</v>
      </c>
      <c r="D405">
        <v>36</v>
      </c>
      <c r="E405">
        <v>8</v>
      </c>
      <c r="F405" t="s">
        <v>701</v>
      </c>
      <c r="G405" t="s">
        <v>702</v>
      </c>
    </row>
    <row r="406" spans="1:7" x14ac:dyDescent="0.2">
      <c r="A406">
        <v>405</v>
      </c>
      <c r="B406" t="s">
        <v>290</v>
      </c>
      <c r="C406">
        <v>24</v>
      </c>
      <c r="D406">
        <v>55</v>
      </c>
      <c r="E406">
        <v>4</v>
      </c>
      <c r="F406" t="s">
        <v>703</v>
      </c>
      <c r="G406" t="s">
        <v>702</v>
      </c>
    </row>
    <row r="407" spans="1:7" x14ac:dyDescent="0.2">
      <c r="A407">
        <v>406</v>
      </c>
      <c r="B407" t="s">
        <v>289</v>
      </c>
      <c r="C407">
        <v>47</v>
      </c>
      <c r="D407">
        <v>35</v>
      </c>
      <c r="E407">
        <v>6</v>
      </c>
      <c r="F407" t="s">
        <v>701</v>
      </c>
      <c r="G407" t="s">
        <v>700</v>
      </c>
    </row>
    <row r="408" spans="1:7" x14ac:dyDescent="0.2">
      <c r="A408">
        <v>407</v>
      </c>
      <c r="B408" t="s">
        <v>288</v>
      </c>
      <c r="C408">
        <v>36</v>
      </c>
      <c r="D408">
        <v>26</v>
      </c>
      <c r="E408">
        <v>12</v>
      </c>
      <c r="F408" t="s">
        <v>703</v>
      </c>
      <c r="G408" t="s">
        <v>700</v>
      </c>
    </row>
    <row r="409" spans="1:7" x14ac:dyDescent="0.2">
      <c r="A409">
        <v>408</v>
      </c>
      <c r="B409" t="s">
        <v>287</v>
      </c>
      <c r="C409">
        <v>41</v>
      </c>
      <c r="D409">
        <v>40</v>
      </c>
      <c r="E409">
        <v>14</v>
      </c>
      <c r="F409" t="s">
        <v>703</v>
      </c>
      <c r="G409" t="s">
        <v>700</v>
      </c>
    </row>
    <row r="410" spans="1:7" x14ac:dyDescent="0.2">
      <c r="A410">
        <v>409</v>
      </c>
      <c r="B410" t="s">
        <v>286</v>
      </c>
      <c r="C410">
        <v>20</v>
      </c>
      <c r="D410">
        <v>55</v>
      </c>
      <c r="E410">
        <v>5</v>
      </c>
      <c r="F410" t="s">
        <v>701</v>
      </c>
      <c r="G410" t="s">
        <v>702</v>
      </c>
    </row>
    <row r="411" spans="1:7" x14ac:dyDescent="0.2">
      <c r="A411">
        <v>410</v>
      </c>
      <c r="B411" t="s">
        <v>285</v>
      </c>
      <c r="C411">
        <v>33</v>
      </c>
      <c r="D411">
        <v>28</v>
      </c>
      <c r="E411">
        <v>9</v>
      </c>
      <c r="F411" t="s">
        <v>703</v>
      </c>
      <c r="G411" t="s">
        <v>700</v>
      </c>
    </row>
    <row r="412" spans="1:7" x14ac:dyDescent="0.2">
      <c r="A412">
        <v>411</v>
      </c>
      <c r="B412" t="s">
        <v>284</v>
      </c>
      <c r="C412">
        <v>48</v>
      </c>
      <c r="D412">
        <v>43</v>
      </c>
      <c r="E412">
        <v>11</v>
      </c>
      <c r="F412" t="s">
        <v>701</v>
      </c>
      <c r="G412" t="s">
        <v>700</v>
      </c>
    </row>
    <row r="413" spans="1:7" x14ac:dyDescent="0.2">
      <c r="A413">
        <v>412</v>
      </c>
      <c r="B413" t="s">
        <v>283</v>
      </c>
      <c r="C413">
        <v>25</v>
      </c>
      <c r="D413">
        <v>34</v>
      </c>
      <c r="E413">
        <v>10</v>
      </c>
      <c r="F413" t="s">
        <v>701</v>
      </c>
      <c r="G413" t="s">
        <v>700</v>
      </c>
    </row>
    <row r="414" spans="1:7" x14ac:dyDescent="0.2">
      <c r="A414">
        <v>413</v>
      </c>
      <c r="B414" t="s">
        <v>282</v>
      </c>
      <c r="C414">
        <v>28</v>
      </c>
      <c r="D414">
        <v>54</v>
      </c>
      <c r="E414">
        <v>7</v>
      </c>
      <c r="F414" t="s">
        <v>703</v>
      </c>
      <c r="G414" t="s">
        <v>702</v>
      </c>
    </row>
    <row r="415" spans="1:7" x14ac:dyDescent="0.2">
      <c r="A415">
        <v>414</v>
      </c>
      <c r="B415" t="s">
        <v>281</v>
      </c>
      <c r="C415">
        <v>27</v>
      </c>
      <c r="D415">
        <v>36</v>
      </c>
      <c r="E415">
        <v>4</v>
      </c>
      <c r="F415" t="s">
        <v>701</v>
      </c>
      <c r="G415" t="s">
        <v>702</v>
      </c>
    </row>
    <row r="416" spans="1:7" x14ac:dyDescent="0.2">
      <c r="A416">
        <v>415</v>
      </c>
      <c r="B416" t="s">
        <v>280</v>
      </c>
      <c r="C416">
        <v>22</v>
      </c>
      <c r="D416">
        <v>31</v>
      </c>
      <c r="E416">
        <v>13</v>
      </c>
      <c r="F416" t="s">
        <v>703</v>
      </c>
      <c r="G416" t="s">
        <v>700</v>
      </c>
    </row>
    <row r="417" spans="1:7" x14ac:dyDescent="0.2">
      <c r="A417">
        <v>416</v>
      </c>
      <c r="B417" t="s">
        <v>279</v>
      </c>
      <c r="C417">
        <v>30</v>
      </c>
      <c r="D417">
        <v>26</v>
      </c>
      <c r="E417">
        <v>10</v>
      </c>
      <c r="F417" t="s">
        <v>703</v>
      </c>
      <c r="G417" t="s">
        <v>700</v>
      </c>
    </row>
    <row r="418" spans="1:7" x14ac:dyDescent="0.2">
      <c r="A418">
        <v>417</v>
      </c>
      <c r="B418" t="s">
        <v>278</v>
      </c>
      <c r="C418">
        <v>49</v>
      </c>
      <c r="D418">
        <v>55</v>
      </c>
      <c r="E418">
        <v>15</v>
      </c>
      <c r="F418" t="s">
        <v>701</v>
      </c>
      <c r="G418" t="s">
        <v>700</v>
      </c>
    </row>
    <row r="419" spans="1:7" x14ac:dyDescent="0.2">
      <c r="A419">
        <v>418</v>
      </c>
      <c r="B419" t="s">
        <v>277</v>
      </c>
      <c r="C419">
        <v>33</v>
      </c>
      <c r="D419">
        <v>34</v>
      </c>
      <c r="E419">
        <v>10</v>
      </c>
      <c r="F419" t="s">
        <v>703</v>
      </c>
      <c r="G419" t="s">
        <v>700</v>
      </c>
    </row>
    <row r="420" spans="1:7" x14ac:dyDescent="0.2">
      <c r="A420">
        <v>419</v>
      </c>
      <c r="B420" t="s">
        <v>276</v>
      </c>
      <c r="C420">
        <v>38</v>
      </c>
      <c r="D420">
        <v>56</v>
      </c>
      <c r="E420">
        <v>7</v>
      </c>
      <c r="F420" t="s">
        <v>703</v>
      </c>
      <c r="G420" t="s">
        <v>702</v>
      </c>
    </row>
    <row r="421" spans="1:7" x14ac:dyDescent="0.2">
      <c r="A421">
        <v>420</v>
      </c>
      <c r="B421" t="s">
        <v>275</v>
      </c>
      <c r="C421">
        <v>42</v>
      </c>
      <c r="D421">
        <v>48</v>
      </c>
      <c r="E421">
        <v>14</v>
      </c>
      <c r="F421" t="s">
        <v>701</v>
      </c>
      <c r="G421" t="s">
        <v>700</v>
      </c>
    </row>
    <row r="422" spans="1:7" x14ac:dyDescent="0.2">
      <c r="A422">
        <v>421</v>
      </c>
      <c r="B422" t="s">
        <v>274</v>
      </c>
      <c r="C422">
        <v>32</v>
      </c>
      <c r="D422">
        <v>46</v>
      </c>
      <c r="E422">
        <v>18</v>
      </c>
      <c r="F422" t="s">
        <v>703</v>
      </c>
      <c r="G422" t="s">
        <v>700</v>
      </c>
    </row>
    <row r="423" spans="1:7" x14ac:dyDescent="0.2">
      <c r="A423">
        <v>422</v>
      </c>
      <c r="B423" t="s">
        <v>273</v>
      </c>
      <c r="C423">
        <v>22</v>
      </c>
      <c r="D423">
        <v>33</v>
      </c>
      <c r="E423">
        <v>8</v>
      </c>
      <c r="F423" t="s">
        <v>701</v>
      </c>
      <c r="G423" t="s">
        <v>702</v>
      </c>
    </row>
    <row r="424" spans="1:7" x14ac:dyDescent="0.2">
      <c r="A424">
        <v>423</v>
      </c>
      <c r="B424" t="s">
        <v>272</v>
      </c>
      <c r="C424">
        <v>46</v>
      </c>
      <c r="D424">
        <v>26</v>
      </c>
      <c r="E424">
        <v>12</v>
      </c>
      <c r="F424" t="s">
        <v>703</v>
      </c>
      <c r="G424" t="s">
        <v>700</v>
      </c>
    </row>
    <row r="425" spans="1:7" x14ac:dyDescent="0.2">
      <c r="A425">
        <v>424</v>
      </c>
      <c r="B425" t="s">
        <v>271</v>
      </c>
      <c r="C425">
        <v>36</v>
      </c>
      <c r="D425">
        <v>52</v>
      </c>
      <c r="E425">
        <v>12</v>
      </c>
      <c r="F425" t="s">
        <v>701</v>
      </c>
      <c r="G425" t="s">
        <v>702</v>
      </c>
    </row>
    <row r="426" spans="1:7" x14ac:dyDescent="0.2">
      <c r="A426">
        <v>425</v>
      </c>
      <c r="B426" t="s">
        <v>270</v>
      </c>
      <c r="C426">
        <v>30</v>
      </c>
      <c r="D426">
        <v>59</v>
      </c>
      <c r="E426">
        <v>12</v>
      </c>
      <c r="F426" t="s">
        <v>703</v>
      </c>
      <c r="G426" t="s">
        <v>702</v>
      </c>
    </row>
    <row r="427" spans="1:7" x14ac:dyDescent="0.2">
      <c r="A427">
        <v>426</v>
      </c>
      <c r="B427" t="s">
        <v>269</v>
      </c>
      <c r="C427">
        <v>25</v>
      </c>
      <c r="D427">
        <v>52</v>
      </c>
      <c r="E427">
        <v>10</v>
      </c>
      <c r="F427" t="s">
        <v>703</v>
      </c>
      <c r="G427" t="s">
        <v>702</v>
      </c>
    </row>
    <row r="428" spans="1:7" x14ac:dyDescent="0.2">
      <c r="A428">
        <v>427</v>
      </c>
      <c r="B428" t="s">
        <v>268</v>
      </c>
      <c r="C428">
        <v>46</v>
      </c>
      <c r="D428">
        <v>39</v>
      </c>
      <c r="E428">
        <v>12</v>
      </c>
      <c r="F428" t="s">
        <v>701</v>
      </c>
      <c r="G428" t="s">
        <v>700</v>
      </c>
    </row>
    <row r="429" spans="1:7" x14ac:dyDescent="0.2">
      <c r="A429">
        <v>428</v>
      </c>
      <c r="B429" t="s">
        <v>267</v>
      </c>
      <c r="C429">
        <v>26</v>
      </c>
      <c r="D429">
        <v>39</v>
      </c>
      <c r="E429">
        <v>10</v>
      </c>
      <c r="F429" t="s">
        <v>703</v>
      </c>
      <c r="G429" t="s">
        <v>702</v>
      </c>
    </row>
    <row r="430" spans="1:7" x14ac:dyDescent="0.2">
      <c r="A430">
        <v>429</v>
      </c>
      <c r="B430" t="s">
        <v>266</v>
      </c>
      <c r="C430">
        <v>44</v>
      </c>
      <c r="D430">
        <v>29</v>
      </c>
      <c r="E430">
        <v>11</v>
      </c>
      <c r="F430" t="s">
        <v>703</v>
      </c>
      <c r="G430" t="s">
        <v>700</v>
      </c>
    </row>
    <row r="431" spans="1:7" x14ac:dyDescent="0.2">
      <c r="A431">
        <v>430</v>
      </c>
      <c r="B431" t="s">
        <v>265</v>
      </c>
      <c r="C431">
        <v>29</v>
      </c>
      <c r="D431">
        <v>44</v>
      </c>
      <c r="E431">
        <v>14</v>
      </c>
      <c r="F431" t="s">
        <v>703</v>
      </c>
      <c r="G431" t="s">
        <v>702</v>
      </c>
    </row>
    <row r="432" spans="1:7" x14ac:dyDescent="0.2">
      <c r="A432">
        <v>431</v>
      </c>
      <c r="B432" t="s">
        <v>264</v>
      </c>
      <c r="C432">
        <v>29</v>
      </c>
      <c r="D432">
        <v>51</v>
      </c>
      <c r="E432">
        <v>12</v>
      </c>
      <c r="F432" t="s">
        <v>703</v>
      </c>
      <c r="G432" t="s">
        <v>702</v>
      </c>
    </row>
    <row r="433" spans="1:7" x14ac:dyDescent="0.2">
      <c r="A433">
        <v>432</v>
      </c>
      <c r="B433" t="s">
        <v>263</v>
      </c>
      <c r="C433">
        <v>42</v>
      </c>
      <c r="D433">
        <v>47</v>
      </c>
      <c r="E433">
        <v>11</v>
      </c>
      <c r="F433" t="s">
        <v>703</v>
      </c>
      <c r="G433" t="s">
        <v>700</v>
      </c>
    </row>
    <row r="434" spans="1:7" x14ac:dyDescent="0.2">
      <c r="A434">
        <v>433</v>
      </c>
      <c r="B434" t="s">
        <v>262</v>
      </c>
      <c r="C434">
        <v>40</v>
      </c>
      <c r="D434">
        <v>58</v>
      </c>
      <c r="E434">
        <v>10</v>
      </c>
      <c r="F434" t="s">
        <v>701</v>
      </c>
      <c r="G434" t="s">
        <v>702</v>
      </c>
    </row>
    <row r="435" spans="1:7" x14ac:dyDescent="0.2">
      <c r="A435">
        <v>434</v>
      </c>
      <c r="B435" t="s">
        <v>261</v>
      </c>
      <c r="C435">
        <v>36</v>
      </c>
      <c r="D435">
        <v>42</v>
      </c>
      <c r="E435">
        <v>11</v>
      </c>
      <c r="F435" t="s">
        <v>701</v>
      </c>
      <c r="G435" t="s">
        <v>700</v>
      </c>
    </row>
    <row r="436" spans="1:7" x14ac:dyDescent="0.2">
      <c r="A436">
        <v>435</v>
      </c>
      <c r="B436" t="s">
        <v>260</v>
      </c>
      <c r="C436">
        <v>31</v>
      </c>
      <c r="D436">
        <v>41</v>
      </c>
      <c r="E436">
        <v>11</v>
      </c>
      <c r="F436" t="s">
        <v>701</v>
      </c>
      <c r="G436" t="s">
        <v>700</v>
      </c>
    </row>
    <row r="437" spans="1:7" x14ac:dyDescent="0.2">
      <c r="A437">
        <v>436</v>
      </c>
      <c r="B437" t="s">
        <v>259</v>
      </c>
      <c r="C437">
        <v>32</v>
      </c>
      <c r="D437">
        <v>60</v>
      </c>
      <c r="E437">
        <v>11</v>
      </c>
      <c r="F437" t="s">
        <v>703</v>
      </c>
      <c r="G437" t="s">
        <v>702</v>
      </c>
    </row>
    <row r="438" spans="1:7" x14ac:dyDescent="0.2">
      <c r="A438">
        <v>437</v>
      </c>
      <c r="B438" t="s">
        <v>258</v>
      </c>
      <c r="C438">
        <v>27</v>
      </c>
      <c r="D438">
        <v>59</v>
      </c>
      <c r="E438">
        <v>12</v>
      </c>
      <c r="F438" t="s">
        <v>703</v>
      </c>
      <c r="G438" t="s">
        <v>702</v>
      </c>
    </row>
    <row r="439" spans="1:7" x14ac:dyDescent="0.2">
      <c r="A439">
        <v>438</v>
      </c>
      <c r="B439" t="s">
        <v>257</v>
      </c>
      <c r="C439">
        <v>23</v>
      </c>
      <c r="D439">
        <v>32</v>
      </c>
      <c r="E439">
        <v>8</v>
      </c>
      <c r="F439" t="s">
        <v>703</v>
      </c>
      <c r="G439" t="s">
        <v>702</v>
      </c>
    </row>
    <row r="440" spans="1:7" x14ac:dyDescent="0.2">
      <c r="A440">
        <v>439</v>
      </c>
      <c r="B440" t="s">
        <v>256</v>
      </c>
      <c r="C440">
        <v>26</v>
      </c>
      <c r="D440">
        <v>38</v>
      </c>
      <c r="E440">
        <v>8</v>
      </c>
      <c r="F440" t="s">
        <v>701</v>
      </c>
      <c r="G440" t="s">
        <v>702</v>
      </c>
    </row>
    <row r="441" spans="1:7" x14ac:dyDescent="0.2">
      <c r="A441">
        <v>440</v>
      </c>
      <c r="B441" t="s">
        <v>255</v>
      </c>
      <c r="C441">
        <v>36</v>
      </c>
      <c r="D441">
        <v>26</v>
      </c>
      <c r="E441">
        <v>8</v>
      </c>
      <c r="F441" t="s">
        <v>703</v>
      </c>
      <c r="G441" t="s">
        <v>700</v>
      </c>
    </row>
    <row r="442" spans="1:7" x14ac:dyDescent="0.2">
      <c r="A442">
        <v>441</v>
      </c>
      <c r="B442" t="s">
        <v>254</v>
      </c>
      <c r="C442">
        <v>37</v>
      </c>
      <c r="D442">
        <v>44</v>
      </c>
      <c r="E442">
        <v>10</v>
      </c>
      <c r="F442" t="s">
        <v>701</v>
      </c>
      <c r="G442" t="s">
        <v>700</v>
      </c>
    </row>
    <row r="443" spans="1:7" x14ac:dyDescent="0.2">
      <c r="A443">
        <v>442</v>
      </c>
      <c r="B443" t="s">
        <v>253</v>
      </c>
      <c r="C443">
        <v>44</v>
      </c>
      <c r="D443">
        <v>36</v>
      </c>
      <c r="E443">
        <v>8</v>
      </c>
      <c r="F443" t="s">
        <v>701</v>
      </c>
      <c r="G443" t="s">
        <v>700</v>
      </c>
    </row>
    <row r="444" spans="1:7" x14ac:dyDescent="0.2">
      <c r="A444">
        <v>443</v>
      </c>
      <c r="B444" t="s">
        <v>252</v>
      </c>
      <c r="C444">
        <v>34</v>
      </c>
      <c r="D444">
        <v>41</v>
      </c>
      <c r="E444">
        <v>11</v>
      </c>
      <c r="F444" t="s">
        <v>703</v>
      </c>
      <c r="G444" t="s">
        <v>700</v>
      </c>
    </row>
    <row r="445" spans="1:7" x14ac:dyDescent="0.2">
      <c r="A445">
        <v>444</v>
      </c>
      <c r="B445" t="s">
        <v>251</v>
      </c>
      <c r="C445">
        <v>48</v>
      </c>
      <c r="D445">
        <v>37</v>
      </c>
      <c r="E445">
        <v>9</v>
      </c>
      <c r="F445" t="s">
        <v>703</v>
      </c>
      <c r="G445" t="s">
        <v>700</v>
      </c>
    </row>
    <row r="446" spans="1:7" x14ac:dyDescent="0.2">
      <c r="A446">
        <v>445</v>
      </c>
      <c r="B446" t="s">
        <v>250</v>
      </c>
      <c r="C446">
        <v>44</v>
      </c>
      <c r="D446">
        <v>52</v>
      </c>
      <c r="E446">
        <v>5</v>
      </c>
      <c r="F446" t="s">
        <v>701</v>
      </c>
      <c r="G446" t="s">
        <v>702</v>
      </c>
    </row>
    <row r="447" spans="1:7" x14ac:dyDescent="0.2">
      <c r="A447">
        <v>446</v>
      </c>
      <c r="B447" t="s">
        <v>249</v>
      </c>
      <c r="C447">
        <v>46</v>
      </c>
      <c r="D447">
        <v>36</v>
      </c>
      <c r="E447">
        <v>11</v>
      </c>
      <c r="F447" t="s">
        <v>701</v>
      </c>
      <c r="G447" t="s">
        <v>700</v>
      </c>
    </row>
    <row r="448" spans="1:7" x14ac:dyDescent="0.2">
      <c r="A448">
        <v>447</v>
      </c>
      <c r="B448" t="s">
        <v>248</v>
      </c>
      <c r="C448">
        <v>40</v>
      </c>
      <c r="D448">
        <v>46</v>
      </c>
      <c r="E448" t="s">
        <v>21</v>
      </c>
      <c r="F448" t="s">
        <v>701</v>
      </c>
      <c r="G448" t="s">
        <v>21</v>
      </c>
    </row>
    <row r="449" spans="1:7" x14ac:dyDescent="0.2">
      <c r="A449">
        <v>448</v>
      </c>
      <c r="B449" t="s">
        <v>247</v>
      </c>
      <c r="C449">
        <v>48</v>
      </c>
      <c r="D449">
        <v>33</v>
      </c>
      <c r="E449">
        <v>7</v>
      </c>
      <c r="F449" t="s">
        <v>701</v>
      </c>
      <c r="G449" t="s">
        <v>700</v>
      </c>
    </row>
    <row r="450" spans="1:7" x14ac:dyDescent="0.2">
      <c r="A450">
        <v>449</v>
      </c>
      <c r="B450" t="s">
        <v>246</v>
      </c>
      <c r="C450">
        <v>26</v>
      </c>
      <c r="D450">
        <v>54</v>
      </c>
      <c r="E450">
        <v>8</v>
      </c>
      <c r="F450" t="s">
        <v>701</v>
      </c>
      <c r="G450" t="s">
        <v>702</v>
      </c>
    </row>
    <row r="451" spans="1:7" x14ac:dyDescent="0.2">
      <c r="A451">
        <v>450</v>
      </c>
      <c r="B451" t="s">
        <v>245</v>
      </c>
      <c r="C451">
        <v>31</v>
      </c>
      <c r="D451">
        <v>54</v>
      </c>
      <c r="E451">
        <v>12</v>
      </c>
      <c r="F451" t="s">
        <v>703</v>
      </c>
      <c r="G451" t="s">
        <v>702</v>
      </c>
    </row>
    <row r="452" spans="1:7" x14ac:dyDescent="0.2">
      <c r="A452">
        <v>451</v>
      </c>
      <c r="B452" t="s">
        <v>244</v>
      </c>
      <c r="C452">
        <v>35</v>
      </c>
      <c r="D452">
        <v>30</v>
      </c>
      <c r="E452">
        <v>11</v>
      </c>
      <c r="F452" t="s">
        <v>701</v>
      </c>
      <c r="G452" t="s">
        <v>700</v>
      </c>
    </row>
    <row r="453" spans="1:7" x14ac:dyDescent="0.2">
      <c r="A453">
        <v>452</v>
      </c>
      <c r="B453" t="s">
        <v>243</v>
      </c>
      <c r="C453">
        <v>40</v>
      </c>
      <c r="D453">
        <v>45</v>
      </c>
      <c r="E453">
        <v>11</v>
      </c>
      <c r="F453" t="s">
        <v>703</v>
      </c>
      <c r="G453" t="s">
        <v>700</v>
      </c>
    </row>
    <row r="454" spans="1:7" x14ac:dyDescent="0.2">
      <c r="A454">
        <v>453</v>
      </c>
      <c r="B454" t="s">
        <v>242</v>
      </c>
      <c r="C454">
        <v>26</v>
      </c>
      <c r="D454">
        <v>26</v>
      </c>
      <c r="E454">
        <v>11</v>
      </c>
      <c r="F454" t="s">
        <v>701</v>
      </c>
      <c r="G454" t="s">
        <v>700</v>
      </c>
    </row>
    <row r="455" spans="1:7" x14ac:dyDescent="0.2">
      <c r="A455">
        <v>454</v>
      </c>
      <c r="B455" t="s">
        <v>241</v>
      </c>
      <c r="C455">
        <v>45</v>
      </c>
      <c r="D455">
        <v>56</v>
      </c>
      <c r="E455">
        <v>9</v>
      </c>
      <c r="F455" t="s">
        <v>703</v>
      </c>
      <c r="G455" t="s">
        <v>702</v>
      </c>
    </row>
    <row r="456" spans="1:7" x14ac:dyDescent="0.2">
      <c r="A456">
        <v>455</v>
      </c>
      <c r="B456" t="s">
        <v>240</v>
      </c>
      <c r="C456">
        <v>36</v>
      </c>
      <c r="D456">
        <v>31</v>
      </c>
      <c r="E456">
        <v>10</v>
      </c>
      <c r="F456" t="s">
        <v>701</v>
      </c>
      <c r="G456" t="s">
        <v>700</v>
      </c>
    </row>
    <row r="457" spans="1:7" x14ac:dyDescent="0.2">
      <c r="A457">
        <v>456</v>
      </c>
      <c r="B457" t="s">
        <v>239</v>
      </c>
      <c r="C457">
        <v>43</v>
      </c>
      <c r="D457">
        <v>34</v>
      </c>
      <c r="E457">
        <v>8</v>
      </c>
      <c r="F457" t="s">
        <v>701</v>
      </c>
      <c r="G457" t="s">
        <v>700</v>
      </c>
    </row>
    <row r="458" spans="1:7" x14ac:dyDescent="0.2">
      <c r="A458">
        <v>457</v>
      </c>
      <c r="B458" t="s">
        <v>238</v>
      </c>
      <c r="C458">
        <v>43</v>
      </c>
      <c r="D458">
        <v>48</v>
      </c>
      <c r="E458">
        <v>8</v>
      </c>
      <c r="F458" t="s">
        <v>701</v>
      </c>
      <c r="G458" t="s">
        <v>700</v>
      </c>
    </row>
    <row r="459" spans="1:7" x14ac:dyDescent="0.2">
      <c r="A459">
        <v>458</v>
      </c>
      <c r="B459" t="s">
        <v>237</v>
      </c>
      <c r="C459">
        <v>36</v>
      </c>
      <c r="D459">
        <v>56</v>
      </c>
      <c r="E459">
        <v>8</v>
      </c>
      <c r="F459" t="s">
        <v>701</v>
      </c>
      <c r="G459" t="s">
        <v>702</v>
      </c>
    </row>
    <row r="460" spans="1:7" x14ac:dyDescent="0.2">
      <c r="A460">
        <v>459</v>
      </c>
      <c r="B460" t="s">
        <v>236</v>
      </c>
      <c r="C460">
        <v>40</v>
      </c>
      <c r="D460">
        <v>41</v>
      </c>
      <c r="E460">
        <v>11</v>
      </c>
      <c r="F460" t="s">
        <v>701</v>
      </c>
      <c r="G460" t="s">
        <v>700</v>
      </c>
    </row>
    <row r="461" spans="1:7" x14ac:dyDescent="0.2">
      <c r="A461">
        <v>460</v>
      </c>
      <c r="B461" t="s">
        <v>235</v>
      </c>
      <c r="C461">
        <v>34</v>
      </c>
      <c r="D461">
        <v>28</v>
      </c>
      <c r="E461">
        <v>8</v>
      </c>
      <c r="F461" t="s">
        <v>703</v>
      </c>
      <c r="G461" t="s">
        <v>700</v>
      </c>
    </row>
    <row r="462" spans="1:7" x14ac:dyDescent="0.2">
      <c r="A462">
        <v>461</v>
      </c>
      <c r="B462" t="s">
        <v>234</v>
      </c>
      <c r="C462">
        <v>28</v>
      </c>
      <c r="D462">
        <v>33</v>
      </c>
      <c r="E462">
        <v>8</v>
      </c>
      <c r="F462" t="s">
        <v>701</v>
      </c>
      <c r="G462" t="s">
        <v>700</v>
      </c>
    </row>
    <row r="463" spans="1:7" x14ac:dyDescent="0.2">
      <c r="A463">
        <v>462</v>
      </c>
      <c r="B463" t="s">
        <v>233</v>
      </c>
      <c r="C463">
        <v>49</v>
      </c>
      <c r="D463">
        <v>78</v>
      </c>
      <c r="E463">
        <v>7</v>
      </c>
      <c r="F463" t="s">
        <v>701</v>
      </c>
      <c r="G463" t="s">
        <v>702</v>
      </c>
    </row>
    <row r="464" spans="1:7" x14ac:dyDescent="0.2">
      <c r="A464">
        <v>463</v>
      </c>
      <c r="B464" t="s">
        <v>232</v>
      </c>
      <c r="C464">
        <v>32</v>
      </c>
      <c r="D464">
        <v>41</v>
      </c>
      <c r="E464">
        <v>8</v>
      </c>
      <c r="F464" t="s">
        <v>703</v>
      </c>
      <c r="G464" t="s">
        <v>702</v>
      </c>
    </row>
    <row r="465" spans="1:7" x14ac:dyDescent="0.2">
      <c r="A465">
        <v>464</v>
      </c>
      <c r="B465" t="s">
        <v>231</v>
      </c>
      <c r="C465">
        <v>48</v>
      </c>
      <c r="D465">
        <v>59</v>
      </c>
      <c r="E465">
        <v>11</v>
      </c>
      <c r="F465" t="s">
        <v>701</v>
      </c>
      <c r="G465" t="s">
        <v>702</v>
      </c>
    </row>
    <row r="466" spans="1:7" x14ac:dyDescent="0.2">
      <c r="A466">
        <v>465</v>
      </c>
      <c r="B466" t="s">
        <v>230</v>
      </c>
      <c r="C466">
        <v>24</v>
      </c>
      <c r="D466">
        <v>28</v>
      </c>
      <c r="E466">
        <v>11</v>
      </c>
      <c r="F466" t="s">
        <v>703</v>
      </c>
      <c r="G466" t="s">
        <v>700</v>
      </c>
    </row>
    <row r="467" spans="1:7" x14ac:dyDescent="0.2">
      <c r="A467">
        <v>466</v>
      </c>
      <c r="B467" t="s">
        <v>229</v>
      </c>
      <c r="C467">
        <v>26</v>
      </c>
      <c r="D467">
        <v>38</v>
      </c>
      <c r="E467">
        <v>13</v>
      </c>
      <c r="F467" t="s">
        <v>701</v>
      </c>
      <c r="G467" t="s">
        <v>700</v>
      </c>
    </row>
    <row r="468" spans="1:7" x14ac:dyDescent="0.2">
      <c r="A468">
        <v>467</v>
      </c>
      <c r="B468" t="s">
        <v>228</v>
      </c>
      <c r="C468">
        <v>49</v>
      </c>
      <c r="D468">
        <v>34</v>
      </c>
      <c r="E468">
        <v>16</v>
      </c>
      <c r="F468" t="s">
        <v>701</v>
      </c>
      <c r="G468" t="s">
        <v>700</v>
      </c>
    </row>
    <row r="469" spans="1:7" x14ac:dyDescent="0.2">
      <c r="A469">
        <v>468</v>
      </c>
      <c r="B469" t="s">
        <v>227</v>
      </c>
      <c r="C469">
        <v>42</v>
      </c>
      <c r="D469">
        <v>26</v>
      </c>
      <c r="E469">
        <v>11</v>
      </c>
      <c r="F469" t="s">
        <v>701</v>
      </c>
      <c r="G469" t="s">
        <v>700</v>
      </c>
    </row>
    <row r="470" spans="1:7" x14ac:dyDescent="0.2">
      <c r="A470">
        <v>469</v>
      </c>
      <c r="B470" t="s">
        <v>226</v>
      </c>
      <c r="C470">
        <v>45</v>
      </c>
      <c r="D470">
        <v>55</v>
      </c>
      <c r="E470">
        <v>9</v>
      </c>
      <c r="F470" t="s">
        <v>703</v>
      </c>
      <c r="G470" t="s">
        <v>702</v>
      </c>
    </row>
    <row r="471" spans="1:7" x14ac:dyDescent="0.2">
      <c r="A471">
        <v>470</v>
      </c>
      <c r="B471" t="s">
        <v>225</v>
      </c>
      <c r="C471">
        <v>25</v>
      </c>
      <c r="D471">
        <v>27</v>
      </c>
      <c r="E471">
        <v>14</v>
      </c>
      <c r="F471" t="s">
        <v>701</v>
      </c>
      <c r="G471" t="s">
        <v>700</v>
      </c>
    </row>
    <row r="472" spans="1:7" x14ac:dyDescent="0.2">
      <c r="A472">
        <v>471</v>
      </c>
      <c r="B472" t="s">
        <v>224</v>
      </c>
      <c r="C472">
        <v>45</v>
      </c>
      <c r="D472">
        <v>42</v>
      </c>
      <c r="E472">
        <v>12</v>
      </c>
      <c r="F472" t="s">
        <v>703</v>
      </c>
      <c r="G472" t="s">
        <v>700</v>
      </c>
    </row>
    <row r="473" spans="1:7" x14ac:dyDescent="0.2">
      <c r="A473">
        <v>472</v>
      </c>
      <c r="B473" t="s">
        <v>223</v>
      </c>
      <c r="C473">
        <v>37</v>
      </c>
      <c r="D473">
        <v>31</v>
      </c>
      <c r="E473">
        <v>4</v>
      </c>
      <c r="F473" t="s">
        <v>701</v>
      </c>
      <c r="G473" t="s">
        <v>700</v>
      </c>
    </row>
    <row r="474" spans="1:7" x14ac:dyDescent="0.2">
      <c r="A474">
        <v>473</v>
      </c>
      <c r="B474" t="s">
        <v>222</v>
      </c>
      <c r="C474">
        <v>39</v>
      </c>
      <c r="D474">
        <v>55</v>
      </c>
      <c r="E474">
        <v>12</v>
      </c>
      <c r="F474" t="s">
        <v>703</v>
      </c>
      <c r="G474" t="s">
        <v>702</v>
      </c>
    </row>
    <row r="475" spans="1:7" x14ac:dyDescent="0.2">
      <c r="A475">
        <v>474</v>
      </c>
      <c r="B475" t="s">
        <v>221</v>
      </c>
      <c r="C475">
        <v>34</v>
      </c>
      <c r="D475">
        <v>42</v>
      </c>
      <c r="E475">
        <v>3</v>
      </c>
      <c r="F475" t="s">
        <v>703</v>
      </c>
      <c r="G475" t="s">
        <v>702</v>
      </c>
    </row>
    <row r="476" spans="1:7" x14ac:dyDescent="0.2">
      <c r="A476">
        <v>475</v>
      </c>
      <c r="B476" t="s">
        <v>220</v>
      </c>
      <c r="C476">
        <v>46</v>
      </c>
      <c r="D476">
        <v>41</v>
      </c>
      <c r="E476">
        <v>9</v>
      </c>
      <c r="F476" t="s">
        <v>703</v>
      </c>
      <c r="G476" t="s">
        <v>700</v>
      </c>
    </row>
    <row r="477" spans="1:7" x14ac:dyDescent="0.2">
      <c r="A477">
        <v>476</v>
      </c>
      <c r="B477" t="s">
        <v>219</v>
      </c>
      <c r="C477">
        <v>48</v>
      </c>
      <c r="D477">
        <v>27</v>
      </c>
      <c r="E477">
        <v>8</v>
      </c>
      <c r="F477" t="s">
        <v>703</v>
      </c>
      <c r="G477" t="s">
        <v>700</v>
      </c>
    </row>
    <row r="478" spans="1:7" x14ac:dyDescent="0.2">
      <c r="A478">
        <v>477</v>
      </c>
      <c r="B478" t="s">
        <v>218</v>
      </c>
      <c r="C478">
        <v>40</v>
      </c>
      <c r="D478">
        <v>36</v>
      </c>
      <c r="E478">
        <v>12</v>
      </c>
      <c r="F478" t="s">
        <v>703</v>
      </c>
      <c r="G478" t="s">
        <v>700</v>
      </c>
    </row>
    <row r="479" spans="1:7" x14ac:dyDescent="0.2">
      <c r="A479">
        <v>478</v>
      </c>
      <c r="B479" t="s">
        <v>217</v>
      </c>
      <c r="C479">
        <v>36</v>
      </c>
      <c r="D479">
        <v>41</v>
      </c>
      <c r="E479">
        <v>5</v>
      </c>
      <c r="F479" t="s">
        <v>703</v>
      </c>
      <c r="G479" t="s">
        <v>702</v>
      </c>
    </row>
    <row r="480" spans="1:7" x14ac:dyDescent="0.2">
      <c r="A480">
        <v>479</v>
      </c>
      <c r="B480" t="s">
        <v>216</v>
      </c>
      <c r="C480">
        <v>39</v>
      </c>
      <c r="D480">
        <v>54</v>
      </c>
      <c r="E480">
        <v>8</v>
      </c>
      <c r="F480" t="s">
        <v>701</v>
      </c>
      <c r="G480" t="s">
        <v>702</v>
      </c>
    </row>
    <row r="481" spans="1:7" x14ac:dyDescent="0.2">
      <c r="A481">
        <v>480</v>
      </c>
      <c r="B481" t="s">
        <v>215</v>
      </c>
      <c r="C481">
        <v>44</v>
      </c>
      <c r="D481">
        <v>27</v>
      </c>
      <c r="E481">
        <v>12</v>
      </c>
      <c r="F481" t="s">
        <v>701</v>
      </c>
      <c r="G481" t="s">
        <v>700</v>
      </c>
    </row>
    <row r="482" spans="1:7" x14ac:dyDescent="0.2">
      <c r="A482">
        <v>481</v>
      </c>
      <c r="B482" t="s">
        <v>214</v>
      </c>
      <c r="C482">
        <v>47</v>
      </c>
      <c r="D482">
        <v>56</v>
      </c>
      <c r="E482">
        <v>12</v>
      </c>
      <c r="F482" t="s">
        <v>703</v>
      </c>
      <c r="G482" t="s">
        <v>700</v>
      </c>
    </row>
    <row r="483" spans="1:7" x14ac:dyDescent="0.2">
      <c r="A483">
        <v>482</v>
      </c>
      <c r="B483" t="s">
        <v>213</v>
      </c>
      <c r="C483">
        <v>50</v>
      </c>
      <c r="D483">
        <v>45</v>
      </c>
      <c r="E483">
        <v>8</v>
      </c>
      <c r="F483" t="s">
        <v>701</v>
      </c>
      <c r="G483" t="s">
        <v>700</v>
      </c>
    </row>
    <row r="484" spans="1:7" x14ac:dyDescent="0.2">
      <c r="A484">
        <v>483</v>
      </c>
      <c r="B484" t="s">
        <v>212</v>
      </c>
      <c r="C484">
        <v>22</v>
      </c>
      <c r="D484">
        <v>48</v>
      </c>
      <c r="E484">
        <v>9</v>
      </c>
      <c r="F484" t="s">
        <v>701</v>
      </c>
      <c r="G484" t="s">
        <v>702</v>
      </c>
    </row>
    <row r="485" spans="1:7" x14ac:dyDescent="0.2">
      <c r="A485">
        <v>484</v>
      </c>
      <c r="B485" t="s">
        <v>211</v>
      </c>
      <c r="C485">
        <v>36</v>
      </c>
      <c r="D485">
        <v>30</v>
      </c>
      <c r="E485">
        <v>6</v>
      </c>
      <c r="F485" t="s">
        <v>701</v>
      </c>
      <c r="G485" t="s">
        <v>700</v>
      </c>
    </row>
    <row r="486" spans="1:7" x14ac:dyDescent="0.2">
      <c r="A486">
        <v>485</v>
      </c>
      <c r="B486" t="s">
        <v>210</v>
      </c>
      <c r="C486">
        <v>44</v>
      </c>
      <c r="D486">
        <v>50</v>
      </c>
      <c r="E486">
        <v>9</v>
      </c>
      <c r="F486" t="s">
        <v>703</v>
      </c>
      <c r="G486" t="s">
        <v>700</v>
      </c>
    </row>
    <row r="487" spans="1:7" x14ac:dyDescent="0.2">
      <c r="A487">
        <v>486</v>
      </c>
      <c r="B487" t="s">
        <v>209</v>
      </c>
      <c r="C487">
        <v>29</v>
      </c>
      <c r="D487">
        <v>41</v>
      </c>
      <c r="E487">
        <v>9</v>
      </c>
      <c r="F487" t="s">
        <v>701</v>
      </c>
      <c r="G487" t="s">
        <v>702</v>
      </c>
    </row>
    <row r="488" spans="1:7" x14ac:dyDescent="0.2">
      <c r="A488">
        <v>487</v>
      </c>
      <c r="B488" t="s">
        <v>208</v>
      </c>
      <c r="C488">
        <v>39</v>
      </c>
      <c r="D488">
        <v>47</v>
      </c>
      <c r="E488">
        <v>10</v>
      </c>
      <c r="F488" t="s">
        <v>701</v>
      </c>
      <c r="G488" t="s">
        <v>700</v>
      </c>
    </row>
    <row r="489" spans="1:7" x14ac:dyDescent="0.2">
      <c r="A489">
        <v>488</v>
      </c>
      <c r="B489" t="s">
        <v>207</v>
      </c>
      <c r="C489">
        <v>31</v>
      </c>
      <c r="D489">
        <v>39</v>
      </c>
      <c r="E489">
        <v>15</v>
      </c>
      <c r="F489" t="s">
        <v>701</v>
      </c>
      <c r="G489" t="s">
        <v>700</v>
      </c>
    </row>
    <row r="490" spans="1:7" x14ac:dyDescent="0.2">
      <c r="A490">
        <v>489</v>
      </c>
      <c r="B490" t="s">
        <v>206</v>
      </c>
      <c r="C490">
        <v>40</v>
      </c>
      <c r="D490">
        <v>30</v>
      </c>
      <c r="E490">
        <v>9</v>
      </c>
      <c r="F490" t="s">
        <v>703</v>
      </c>
      <c r="G490" t="s">
        <v>700</v>
      </c>
    </row>
    <row r="491" spans="1:7" x14ac:dyDescent="0.2">
      <c r="A491">
        <v>490</v>
      </c>
      <c r="B491" t="s">
        <v>205</v>
      </c>
      <c r="C491">
        <v>29</v>
      </c>
      <c r="D491">
        <v>29</v>
      </c>
      <c r="E491">
        <v>11</v>
      </c>
      <c r="F491" t="s">
        <v>701</v>
      </c>
      <c r="G491" t="s">
        <v>700</v>
      </c>
    </row>
    <row r="492" spans="1:7" x14ac:dyDescent="0.2">
      <c r="A492">
        <v>491</v>
      </c>
      <c r="B492" t="s">
        <v>204</v>
      </c>
      <c r="C492">
        <v>30</v>
      </c>
      <c r="D492">
        <v>40</v>
      </c>
      <c r="E492">
        <v>16</v>
      </c>
      <c r="F492" t="s">
        <v>703</v>
      </c>
      <c r="G492" t="s">
        <v>700</v>
      </c>
    </row>
    <row r="493" spans="1:7" x14ac:dyDescent="0.2">
      <c r="A493">
        <v>492</v>
      </c>
      <c r="B493" t="s">
        <v>203</v>
      </c>
      <c r="C493">
        <v>41</v>
      </c>
      <c r="D493">
        <v>28</v>
      </c>
      <c r="E493">
        <v>13</v>
      </c>
      <c r="F493" t="s">
        <v>701</v>
      </c>
      <c r="G493" t="s">
        <v>700</v>
      </c>
    </row>
    <row r="494" spans="1:7" x14ac:dyDescent="0.2">
      <c r="A494">
        <v>493</v>
      </c>
      <c r="B494" t="s">
        <v>202</v>
      </c>
      <c r="C494">
        <v>27</v>
      </c>
      <c r="D494">
        <v>57</v>
      </c>
      <c r="E494">
        <v>6</v>
      </c>
      <c r="F494" t="s">
        <v>703</v>
      </c>
      <c r="G494" t="s">
        <v>702</v>
      </c>
    </row>
    <row r="495" spans="1:7" x14ac:dyDescent="0.2">
      <c r="A495">
        <v>494</v>
      </c>
      <c r="B495" t="s">
        <v>201</v>
      </c>
      <c r="C495">
        <v>43</v>
      </c>
      <c r="D495">
        <v>58</v>
      </c>
      <c r="E495">
        <v>15</v>
      </c>
      <c r="F495" t="s">
        <v>703</v>
      </c>
      <c r="G495" t="s">
        <v>702</v>
      </c>
    </row>
    <row r="496" spans="1:7" x14ac:dyDescent="0.2">
      <c r="A496">
        <v>495</v>
      </c>
      <c r="B496" t="s">
        <v>200</v>
      </c>
      <c r="C496">
        <v>29</v>
      </c>
      <c r="D496">
        <v>47</v>
      </c>
      <c r="E496">
        <v>7</v>
      </c>
      <c r="F496" t="s">
        <v>701</v>
      </c>
      <c r="G496" t="s">
        <v>702</v>
      </c>
    </row>
    <row r="497" spans="1:7" x14ac:dyDescent="0.2">
      <c r="A497">
        <v>496</v>
      </c>
      <c r="B497" t="s">
        <v>199</v>
      </c>
      <c r="C497">
        <v>36</v>
      </c>
      <c r="D497">
        <v>58</v>
      </c>
      <c r="E497">
        <v>10</v>
      </c>
      <c r="F497" t="s">
        <v>703</v>
      </c>
      <c r="G497" t="s">
        <v>702</v>
      </c>
    </row>
    <row r="498" spans="1:7" x14ac:dyDescent="0.2">
      <c r="A498">
        <v>497</v>
      </c>
      <c r="B498" t="s">
        <v>198</v>
      </c>
      <c r="C498">
        <v>21</v>
      </c>
      <c r="D498">
        <v>42</v>
      </c>
      <c r="E498">
        <v>11</v>
      </c>
      <c r="F498" t="s">
        <v>703</v>
      </c>
      <c r="G498" t="s">
        <v>702</v>
      </c>
    </row>
    <row r="499" spans="1:7" x14ac:dyDescent="0.2">
      <c r="A499">
        <v>498</v>
      </c>
      <c r="B499" t="s">
        <v>197</v>
      </c>
      <c r="C499">
        <v>35</v>
      </c>
      <c r="D499">
        <v>37</v>
      </c>
      <c r="E499">
        <v>4</v>
      </c>
      <c r="F499" t="s">
        <v>703</v>
      </c>
      <c r="G499" t="s">
        <v>700</v>
      </c>
    </row>
    <row r="500" spans="1:7" x14ac:dyDescent="0.2">
      <c r="A500">
        <v>499</v>
      </c>
      <c r="B500" t="s">
        <v>196</v>
      </c>
      <c r="C500">
        <v>34</v>
      </c>
      <c r="D500">
        <v>43</v>
      </c>
      <c r="E500">
        <v>11</v>
      </c>
      <c r="F500" t="s">
        <v>701</v>
      </c>
      <c r="G500" t="s">
        <v>700</v>
      </c>
    </row>
    <row r="501" spans="1:7" x14ac:dyDescent="0.2">
      <c r="A501">
        <v>500</v>
      </c>
      <c r="B501" t="s">
        <v>195</v>
      </c>
      <c r="C501">
        <v>35</v>
      </c>
      <c r="D501">
        <v>52</v>
      </c>
      <c r="E501">
        <v>12</v>
      </c>
      <c r="F501" t="s">
        <v>703</v>
      </c>
      <c r="G501" t="s">
        <v>702</v>
      </c>
    </row>
    <row r="502" spans="1:7" x14ac:dyDescent="0.2">
      <c r="A502">
        <v>501</v>
      </c>
      <c r="B502" t="s">
        <v>194</v>
      </c>
      <c r="C502">
        <v>24</v>
      </c>
      <c r="D502">
        <v>36</v>
      </c>
      <c r="E502">
        <v>6</v>
      </c>
      <c r="F502" t="s">
        <v>701</v>
      </c>
      <c r="G502" t="s">
        <v>702</v>
      </c>
    </row>
    <row r="503" spans="1:7" x14ac:dyDescent="0.2">
      <c r="A503">
        <v>502</v>
      </c>
      <c r="B503" t="s">
        <v>193</v>
      </c>
      <c r="C503">
        <v>43</v>
      </c>
      <c r="D503">
        <v>45</v>
      </c>
      <c r="E503">
        <v>16</v>
      </c>
      <c r="F503" t="s">
        <v>701</v>
      </c>
      <c r="G503" t="s">
        <v>700</v>
      </c>
    </row>
    <row r="504" spans="1:7" x14ac:dyDescent="0.2">
      <c r="A504">
        <v>503</v>
      </c>
      <c r="B504" t="s">
        <v>192</v>
      </c>
      <c r="C504">
        <v>36</v>
      </c>
      <c r="D504">
        <v>39</v>
      </c>
      <c r="E504">
        <v>6</v>
      </c>
      <c r="F504" t="s">
        <v>701</v>
      </c>
      <c r="G504" t="s">
        <v>700</v>
      </c>
    </row>
    <row r="505" spans="1:7" x14ac:dyDescent="0.2">
      <c r="A505">
        <v>504</v>
      </c>
      <c r="B505" t="s">
        <v>191</v>
      </c>
      <c r="C505">
        <v>22</v>
      </c>
      <c r="D505">
        <v>44</v>
      </c>
      <c r="E505">
        <v>11</v>
      </c>
      <c r="F505" t="s">
        <v>701</v>
      </c>
      <c r="G505" t="s">
        <v>702</v>
      </c>
    </row>
    <row r="506" spans="1:7" x14ac:dyDescent="0.2">
      <c r="A506">
        <v>505</v>
      </c>
      <c r="B506" t="s">
        <v>190</v>
      </c>
      <c r="C506">
        <v>48</v>
      </c>
      <c r="D506">
        <v>25</v>
      </c>
      <c r="E506">
        <v>11</v>
      </c>
      <c r="F506" t="s">
        <v>703</v>
      </c>
      <c r="G506" t="s">
        <v>700</v>
      </c>
    </row>
    <row r="507" spans="1:7" x14ac:dyDescent="0.2">
      <c r="A507">
        <v>506</v>
      </c>
      <c r="B507" t="s">
        <v>189</v>
      </c>
      <c r="C507">
        <v>24</v>
      </c>
      <c r="D507">
        <v>31</v>
      </c>
      <c r="E507">
        <v>10</v>
      </c>
      <c r="F507" t="s">
        <v>703</v>
      </c>
      <c r="G507" t="s">
        <v>700</v>
      </c>
    </row>
    <row r="508" spans="1:7" x14ac:dyDescent="0.2">
      <c r="A508">
        <v>507</v>
      </c>
      <c r="B508" t="s">
        <v>188</v>
      </c>
      <c r="C508">
        <v>43</v>
      </c>
      <c r="D508">
        <v>57</v>
      </c>
      <c r="E508">
        <v>10</v>
      </c>
      <c r="F508" t="s">
        <v>703</v>
      </c>
      <c r="G508" t="s">
        <v>702</v>
      </c>
    </row>
    <row r="509" spans="1:7" x14ac:dyDescent="0.2">
      <c r="A509">
        <v>508</v>
      </c>
      <c r="B509" t="s">
        <v>187</v>
      </c>
      <c r="C509">
        <v>30</v>
      </c>
      <c r="D509">
        <v>41</v>
      </c>
      <c r="E509">
        <v>6</v>
      </c>
      <c r="F509" t="s">
        <v>701</v>
      </c>
      <c r="G509" t="s">
        <v>702</v>
      </c>
    </row>
    <row r="510" spans="1:7" x14ac:dyDescent="0.2">
      <c r="A510">
        <v>509</v>
      </c>
      <c r="B510" t="s">
        <v>186</v>
      </c>
      <c r="C510">
        <v>48</v>
      </c>
      <c r="D510">
        <v>37</v>
      </c>
      <c r="E510">
        <v>4</v>
      </c>
      <c r="F510" t="s">
        <v>701</v>
      </c>
      <c r="G510" t="s">
        <v>700</v>
      </c>
    </row>
    <row r="511" spans="1:7" x14ac:dyDescent="0.2">
      <c r="A511">
        <v>510</v>
      </c>
      <c r="B511" t="s">
        <v>185</v>
      </c>
      <c r="C511">
        <v>42</v>
      </c>
      <c r="D511">
        <v>44</v>
      </c>
      <c r="E511">
        <v>12</v>
      </c>
      <c r="F511" t="s">
        <v>703</v>
      </c>
      <c r="G511" t="s">
        <v>700</v>
      </c>
    </row>
    <row r="512" spans="1:7" x14ac:dyDescent="0.2">
      <c r="A512">
        <v>511</v>
      </c>
      <c r="B512" t="s">
        <v>184</v>
      </c>
      <c r="C512">
        <v>47</v>
      </c>
      <c r="D512">
        <v>29</v>
      </c>
      <c r="E512">
        <v>9</v>
      </c>
      <c r="F512" t="s">
        <v>701</v>
      </c>
      <c r="G512" t="s">
        <v>700</v>
      </c>
    </row>
    <row r="513" spans="1:7" x14ac:dyDescent="0.2">
      <c r="A513">
        <v>512</v>
      </c>
      <c r="B513" t="s">
        <v>183</v>
      </c>
      <c r="C513">
        <v>49</v>
      </c>
      <c r="D513">
        <v>27</v>
      </c>
      <c r="E513">
        <v>7</v>
      </c>
      <c r="F513" t="s">
        <v>701</v>
      </c>
      <c r="G513" t="s">
        <v>700</v>
      </c>
    </row>
    <row r="514" spans="1:7" x14ac:dyDescent="0.2">
      <c r="A514">
        <v>513</v>
      </c>
      <c r="B514" t="s">
        <v>182</v>
      </c>
      <c r="C514">
        <v>41</v>
      </c>
      <c r="D514">
        <v>40</v>
      </c>
      <c r="E514">
        <v>2</v>
      </c>
      <c r="F514" t="s">
        <v>703</v>
      </c>
      <c r="G514" t="s">
        <v>700</v>
      </c>
    </row>
    <row r="515" spans="1:7" x14ac:dyDescent="0.2">
      <c r="A515">
        <v>514</v>
      </c>
      <c r="B515" t="s">
        <v>181</v>
      </c>
      <c r="C515">
        <v>30</v>
      </c>
      <c r="D515">
        <v>26</v>
      </c>
      <c r="E515">
        <v>15</v>
      </c>
      <c r="F515" t="s">
        <v>703</v>
      </c>
      <c r="G515" t="s">
        <v>700</v>
      </c>
    </row>
    <row r="516" spans="1:7" x14ac:dyDescent="0.2">
      <c r="A516">
        <v>515</v>
      </c>
      <c r="B516" t="s">
        <v>180</v>
      </c>
      <c r="C516">
        <v>32</v>
      </c>
      <c r="D516">
        <v>36</v>
      </c>
      <c r="E516">
        <v>7</v>
      </c>
      <c r="F516" t="s">
        <v>703</v>
      </c>
      <c r="G516" t="s">
        <v>700</v>
      </c>
    </row>
    <row r="517" spans="1:7" x14ac:dyDescent="0.2">
      <c r="A517">
        <v>516</v>
      </c>
      <c r="B517" t="s">
        <v>179</v>
      </c>
      <c r="C517">
        <v>44</v>
      </c>
      <c r="D517">
        <v>42</v>
      </c>
      <c r="E517">
        <v>11</v>
      </c>
      <c r="F517" t="s">
        <v>703</v>
      </c>
      <c r="G517" t="s">
        <v>700</v>
      </c>
    </row>
    <row r="518" spans="1:7" x14ac:dyDescent="0.2">
      <c r="A518">
        <v>517</v>
      </c>
      <c r="B518" t="s">
        <v>178</v>
      </c>
      <c r="C518">
        <v>26</v>
      </c>
      <c r="D518">
        <v>56</v>
      </c>
      <c r="E518">
        <v>12</v>
      </c>
      <c r="F518" t="s">
        <v>701</v>
      </c>
      <c r="G518" t="s">
        <v>702</v>
      </c>
    </row>
    <row r="519" spans="1:7" x14ac:dyDescent="0.2">
      <c r="A519">
        <v>518</v>
      </c>
      <c r="B519" t="s">
        <v>177</v>
      </c>
      <c r="C519">
        <v>44</v>
      </c>
      <c r="D519">
        <v>54</v>
      </c>
      <c r="E519">
        <v>9</v>
      </c>
      <c r="F519" t="s">
        <v>703</v>
      </c>
      <c r="G519" t="s">
        <v>702</v>
      </c>
    </row>
    <row r="520" spans="1:7" x14ac:dyDescent="0.2">
      <c r="A520">
        <v>519</v>
      </c>
      <c r="B520" t="s">
        <v>176</v>
      </c>
      <c r="C520">
        <v>37</v>
      </c>
      <c r="D520">
        <v>55</v>
      </c>
      <c r="E520">
        <v>4</v>
      </c>
      <c r="F520" t="s">
        <v>703</v>
      </c>
      <c r="G520" t="s">
        <v>702</v>
      </c>
    </row>
    <row r="521" spans="1:7" x14ac:dyDescent="0.2">
      <c r="A521">
        <v>520</v>
      </c>
      <c r="B521" t="s">
        <v>175</v>
      </c>
      <c r="C521">
        <v>36</v>
      </c>
      <c r="D521">
        <v>27</v>
      </c>
      <c r="E521">
        <v>14</v>
      </c>
      <c r="F521" t="s">
        <v>701</v>
      </c>
      <c r="G521" t="s">
        <v>700</v>
      </c>
    </row>
    <row r="522" spans="1:7" x14ac:dyDescent="0.2">
      <c r="A522">
        <v>521</v>
      </c>
      <c r="B522" t="s">
        <v>174</v>
      </c>
      <c r="C522">
        <v>20</v>
      </c>
      <c r="D522">
        <v>59</v>
      </c>
      <c r="E522">
        <v>11</v>
      </c>
      <c r="F522" t="s">
        <v>703</v>
      </c>
      <c r="G522" t="s">
        <v>702</v>
      </c>
    </row>
    <row r="523" spans="1:7" x14ac:dyDescent="0.2">
      <c r="A523">
        <v>522</v>
      </c>
      <c r="B523" t="s">
        <v>173</v>
      </c>
      <c r="C523">
        <v>45</v>
      </c>
      <c r="D523">
        <v>38</v>
      </c>
      <c r="E523">
        <v>12</v>
      </c>
      <c r="F523" t="s">
        <v>703</v>
      </c>
      <c r="G523" t="s">
        <v>700</v>
      </c>
    </row>
    <row r="524" spans="1:7" x14ac:dyDescent="0.2">
      <c r="A524">
        <v>523</v>
      </c>
      <c r="B524" t="s">
        <v>172</v>
      </c>
      <c r="C524">
        <v>40</v>
      </c>
      <c r="D524">
        <v>58</v>
      </c>
      <c r="E524">
        <v>15</v>
      </c>
      <c r="F524" t="s">
        <v>701</v>
      </c>
      <c r="G524" t="s">
        <v>702</v>
      </c>
    </row>
    <row r="525" spans="1:7" x14ac:dyDescent="0.2">
      <c r="A525">
        <v>524</v>
      </c>
      <c r="B525" t="s">
        <v>171</v>
      </c>
      <c r="C525">
        <v>48</v>
      </c>
      <c r="D525">
        <v>54</v>
      </c>
      <c r="E525">
        <v>10</v>
      </c>
      <c r="F525" t="s">
        <v>701</v>
      </c>
      <c r="G525" t="s">
        <v>700</v>
      </c>
    </row>
    <row r="526" spans="1:7" x14ac:dyDescent="0.2">
      <c r="A526">
        <v>525</v>
      </c>
      <c r="B526" t="s">
        <v>170</v>
      </c>
      <c r="C526">
        <v>25</v>
      </c>
      <c r="D526">
        <v>27</v>
      </c>
      <c r="E526">
        <v>12</v>
      </c>
      <c r="F526" t="s">
        <v>701</v>
      </c>
      <c r="G526" t="s">
        <v>700</v>
      </c>
    </row>
    <row r="527" spans="1:7" x14ac:dyDescent="0.2">
      <c r="A527">
        <v>526</v>
      </c>
      <c r="B527" t="s">
        <v>169</v>
      </c>
      <c r="C527">
        <v>39</v>
      </c>
      <c r="D527">
        <v>39</v>
      </c>
      <c r="E527">
        <v>12</v>
      </c>
      <c r="F527" t="s">
        <v>703</v>
      </c>
      <c r="G527" t="s">
        <v>700</v>
      </c>
    </row>
    <row r="528" spans="1:7" x14ac:dyDescent="0.2">
      <c r="A528">
        <v>527</v>
      </c>
      <c r="B528" t="s">
        <v>168</v>
      </c>
      <c r="C528">
        <v>44</v>
      </c>
      <c r="D528">
        <v>50</v>
      </c>
      <c r="E528">
        <v>6</v>
      </c>
      <c r="F528" t="s">
        <v>703</v>
      </c>
      <c r="G528" t="s">
        <v>702</v>
      </c>
    </row>
    <row r="529" spans="1:7" x14ac:dyDescent="0.2">
      <c r="A529">
        <v>528</v>
      </c>
      <c r="B529" t="s">
        <v>167</v>
      </c>
      <c r="C529">
        <v>24</v>
      </c>
      <c r="D529">
        <v>33</v>
      </c>
      <c r="E529">
        <v>13</v>
      </c>
      <c r="F529" t="s">
        <v>701</v>
      </c>
      <c r="G529" t="s">
        <v>700</v>
      </c>
    </row>
    <row r="530" spans="1:7" x14ac:dyDescent="0.2">
      <c r="A530">
        <v>529</v>
      </c>
      <c r="B530" t="s">
        <v>166</v>
      </c>
      <c r="C530">
        <v>45</v>
      </c>
      <c r="D530">
        <v>37</v>
      </c>
      <c r="E530">
        <v>9</v>
      </c>
      <c r="F530" t="s">
        <v>701</v>
      </c>
      <c r="G530" t="s">
        <v>700</v>
      </c>
    </row>
    <row r="531" spans="1:7" x14ac:dyDescent="0.2">
      <c r="A531">
        <v>530</v>
      </c>
      <c r="B531" t="s">
        <v>165</v>
      </c>
      <c r="C531">
        <v>25</v>
      </c>
      <c r="D531">
        <v>49</v>
      </c>
      <c r="E531">
        <v>15</v>
      </c>
      <c r="F531" t="s">
        <v>701</v>
      </c>
      <c r="G531" t="s">
        <v>702</v>
      </c>
    </row>
    <row r="532" spans="1:7" x14ac:dyDescent="0.2">
      <c r="A532">
        <v>531</v>
      </c>
      <c r="B532" t="s">
        <v>164</v>
      </c>
      <c r="C532">
        <v>44</v>
      </c>
      <c r="D532">
        <v>28</v>
      </c>
      <c r="E532">
        <v>8</v>
      </c>
      <c r="F532" t="s">
        <v>701</v>
      </c>
      <c r="G532" t="s">
        <v>700</v>
      </c>
    </row>
    <row r="533" spans="1:7" x14ac:dyDescent="0.2">
      <c r="A533">
        <v>532</v>
      </c>
      <c r="B533" t="s">
        <v>163</v>
      </c>
      <c r="C533">
        <v>21</v>
      </c>
      <c r="D533">
        <v>57</v>
      </c>
      <c r="E533">
        <v>4</v>
      </c>
      <c r="F533" t="s">
        <v>703</v>
      </c>
      <c r="G533" t="s">
        <v>702</v>
      </c>
    </row>
    <row r="534" spans="1:7" x14ac:dyDescent="0.2">
      <c r="A534">
        <v>533</v>
      </c>
      <c r="B534" t="s">
        <v>162</v>
      </c>
      <c r="C534">
        <v>42</v>
      </c>
      <c r="D534">
        <v>60</v>
      </c>
      <c r="E534">
        <v>12</v>
      </c>
      <c r="F534" t="s">
        <v>701</v>
      </c>
      <c r="G534" t="s">
        <v>702</v>
      </c>
    </row>
    <row r="535" spans="1:7" x14ac:dyDescent="0.2">
      <c r="A535">
        <v>534</v>
      </c>
      <c r="B535" t="s">
        <v>161</v>
      </c>
      <c r="C535">
        <v>30</v>
      </c>
      <c r="D535">
        <v>25</v>
      </c>
      <c r="E535">
        <v>11</v>
      </c>
      <c r="F535" t="s">
        <v>701</v>
      </c>
      <c r="G535" t="s">
        <v>700</v>
      </c>
    </row>
    <row r="536" spans="1:7" x14ac:dyDescent="0.2">
      <c r="A536">
        <v>535</v>
      </c>
      <c r="B536" t="s">
        <v>160</v>
      </c>
      <c r="C536">
        <v>46</v>
      </c>
      <c r="D536">
        <v>55</v>
      </c>
      <c r="E536">
        <v>8</v>
      </c>
      <c r="F536" t="s">
        <v>701</v>
      </c>
      <c r="G536" t="s">
        <v>702</v>
      </c>
    </row>
    <row r="537" spans="1:7" x14ac:dyDescent="0.2">
      <c r="A537">
        <v>536</v>
      </c>
      <c r="B537" t="s">
        <v>159</v>
      </c>
      <c r="C537">
        <v>32</v>
      </c>
      <c r="D537">
        <v>54</v>
      </c>
      <c r="E537">
        <v>12</v>
      </c>
      <c r="F537" t="s">
        <v>703</v>
      </c>
      <c r="G537" t="s">
        <v>702</v>
      </c>
    </row>
    <row r="538" spans="1:7" x14ac:dyDescent="0.2">
      <c r="A538">
        <v>537</v>
      </c>
      <c r="B538" t="s">
        <v>158</v>
      </c>
      <c r="C538">
        <v>22</v>
      </c>
      <c r="D538">
        <v>34</v>
      </c>
      <c r="E538">
        <v>12</v>
      </c>
      <c r="F538" t="s">
        <v>703</v>
      </c>
      <c r="G538" t="s">
        <v>702</v>
      </c>
    </row>
    <row r="539" spans="1:7" x14ac:dyDescent="0.2">
      <c r="A539">
        <v>538</v>
      </c>
      <c r="B539" t="s">
        <v>157</v>
      </c>
      <c r="C539">
        <v>50</v>
      </c>
      <c r="D539">
        <v>52</v>
      </c>
      <c r="E539">
        <v>13</v>
      </c>
      <c r="F539" t="s">
        <v>701</v>
      </c>
      <c r="G539" t="s">
        <v>700</v>
      </c>
    </row>
    <row r="540" spans="1:7" x14ac:dyDescent="0.2">
      <c r="A540">
        <v>539</v>
      </c>
      <c r="B540" t="s">
        <v>156</v>
      </c>
      <c r="C540">
        <v>28</v>
      </c>
      <c r="D540">
        <v>57</v>
      </c>
      <c r="E540">
        <v>10</v>
      </c>
      <c r="F540" t="s">
        <v>701</v>
      </c>
      <c r="G540" t="s">
        <v>702</v>
      </c>
    </row>
    <row r="541" spans="1:7" x14ac:dyDescent="0.2">
      <c r="A541">
        <v>540</v>
      </c>
      <c r="B541" t="s">
        <v>155</v>
      </c>
      <c r="C541">
        <v>40</v>
      </c>
      <c r="D541">
        <v>48</v>
      </c>
      <c r="E541">
        <v>12</v>
      </c>
      <c r="F541" t="s">
        <v>703</v>
      </c>
      <c r="G541" t="s">
        <v>700</v>
      </c>
    </row>
    <row r="542" spans="1:7" x14ac:dyDescent="0.2">
      <c r="A542">
        <v>541</v>
      </c>
      <c r="B542" t="s">
        <v>154</v>
      </c>
      <c r="C542">
        <v>36</v>
      </c>
      <c r="D542">
        <v>32</v>
      </c>
      <c r="E542">
        <v>6</v>
      </c>
      <c r="F542" t="s">
        <v>701</v>
      </c>
      <c r="G542" t="s">
        <v>700</v>
      </c>
    </row>
    <row r="543" spans="1:7" x14ac:dyDescent="0.2">
      <c r="A543">
        <v>542</v>
      </c>
      <c r="B543" t="s">
        <v>153</v>
      </c>
      <c r="C543">
        <v>41</v>
      </c>
      <c r="D543">
        <v>45</v>
      </c>
      <c r="E543">
        <v>7</v>
      </c>
      <c r="F543" t="s">
        <v>703</v>
      </c>
      <c r="G543" t="s">
        <v>700</v>
      </c>
    </row>
    <row r="544" spans="1:7" x14ac:dyDescent="0.2">
      <c r="A544">
        <v>543</v>
      </c>
      <c r="B544" t="s">
        <v>152</v>
      </c>
      <c r="C544">
        <v>26</v>
      </c>
      <c r="D544">
        <v>32</v>
      </c>
      <c r="E544">
        <v>14</v>
      </c>
      <c r="F544" t="s">
        <v>703</v>
      </c>
      <c r="G544" t="s">
        <v>700</v>
      </c>
    </row>
    <row r="545" spans="1:7" x14ac:dyDescent="0.2">
      <c r="A545">
        <v>544</v>
      </c>
      <c r="B545" t="s">
        <v>151</v>
      </c>
      <c r="C545">
        <v>39</v>
      </c>
      <c r="D545">
        <v>60</v>
      </c>
      <c r="E545">
        <v>13</v>
      </c>
      <c r="F545" t="s">
        <v>701</v>
      </c>
      <c r="G545" t="s">
        <v>702</v>
      </c>
    </row>
    <row r="546" spans="1:7" x14ac:dyDescent="0.2">
      <c r="A546">
        <v>545</v>
      </c>
      <c r="B546" t="s">
        <v>150</v>
      </c>
      <c r="C546">
        <v>33</v>
      </c>
      <c r="D546">
        <v>58</v>
      </c>
      <c r="E546">
        <v>14</v>
      </c>
      <c r="F546" t="s">
        <v>703</v>
      </c>
      <c r="G546" t="s">
        <v>702</v>
      </c>
    </row>
    <row r="547" spans="1:7" x14ac:dyDescent="0.2">
      <c r="A547">
        <v>546</v>
      </c>
      <c r="B547" t="s">
        <v>149</v>
      </c>
      <c r="C547">
        <v>32</v>
      </c>
      <c r="D547">
        <v>36</v>
      </c>
      <c r="E547">
        <v>13</v>
      </c>
      <c r="F547" t="s">
        <v>703</v>
      </c>
      <c r="G547" t="s">
        <v>700</v>
      </c>
    </row>
    <row r="548" spans="1:7" x14ac:dyDescent="0.2">
      <c r="A548">
        <v>547</v>
      </c>
      <c r="B548" t="s">
        <v>148</v>
      </c>
      <c r="C548">
        <v>40</v>
      </c>
      <c r="D548">
        <v>51</v>
      </c>
      <c r="E548">
        <v>15</v>
      </c>
      <c r="F548" t="s">
        <v>701</v>
      </c>
      <c r="G548" t="s">
        <v>700</v>
      </c>
    </row>
    <row r="549" spans="1:7" x14ac:dyDescent="0.2">
      <c r="A549">
        <v>548</v>
      </c>
      <c r="B549" t="s">
        <v>147</v>
      </c>
      <c r="C549">
        <v>36</v>
      </c>
      <c r="D549">
        <v>28</v>
      </c>
      <c r="E549">
        <v>9</v>
      </c>
      <c r="F549" t="s">
        <v>703</v>
      </c>
      <c r="G549" t="s">
        <v>700</v>
      </c>
    </row>
    <row r="550" spans="1:7" x14ac:dyDescent="0.2">
      <c r="A550">
        <v>549</v>
      </c>
      <c r="B550" t="s">
        <v>146</v>
      </c>
      <c r="C550">
        <v>22</v>
      </c>
      <c r="D550">
        <v>34</v>
      </c>
      <c r="E550">
        <v>11</v>
      </c>
      <c r="F550" t="s">
        <v>703</v>
      </c>
      <c r="G550" t="s">
        <v>702</v>
      </c>
    </row>
    <row r="551" spans="1:7" x14ac:dyDescent="0.2">
      <c r="A551">
        <v>550</v>
      </c>
      <c r="B551" t="s">
        <v>145</v>
      </c>
      <c r="C551">
        <v>36</v>
      </c>
      <c r="D551">
        <v>41</v>
      </c>
      <c r="E551">
        <v>8</v>
      </c>
      <c r="F551" t="s">
        <v>701</v>
      </c>
      <c r="G551" t="s">
        <v>700</v>
      </c>
    </row>
    <row r="552" spans="1:7" x14ac:dyDescent="0.2">
      <c r="A552">
        <v>551</v>
      </c>
      <c r="B552" t="s">
        <v>144</v>
      </c>
      <c r="C552">
        <v>29</v>
      </c>
      <c r="D552">
        <v>29</v>
      </c>
      <c r="E552">
        <v>11</v>
      </c>
      <c r="F552" t="s">
        <v>703</v>
      </c>
      <c r="G552" t="s">
        <v>700</v>
      </c>
    </row>
    <row r="553" spans="1:7" x14ac:dyDescent="0.2">
      <c r="A553">
        <v>552</v>
      </c>
      <c r="B553" t="s">
        <v>143</v>
      </c>
      <c r="C553">
        <v>37</v>
      </c>
      <c r="D553">
        <v>50</v>
      </c>
      <c r="E553">
        <v>12</v>
      </c>
      <c r="F553" t="s">
        <v>703</v>
      </c>
      <c r="G553" t="s">
        <v>702</v>
      </c>
    </row>
    <row r="554" spans="1:7" x14ac:dyDescent="0.2">
      <c r="A554">
        <v>553</v>
      </c>
      <c r="B554" t="s">
        <v>142</v>
      </c>
      <c r="C554">
        <v>38</v>
      </c>
      <c r="D554">
        <v>45</v>
      </c>
      <c r="E554">
        <v>14</v>
      </c>
      <c r="F554" t="s">
        <v>703</v>
      </c>
      <c r="G554" t="s">
        <v>700</v>
      </c>
    </row>
    <row r="555" spans="1:7" x14ac:dyDescent="0.2">
      <c r="A555">
        <v>554</v>
      </c>
      <c r="B555" t="s">
        <v>141</v>
      </c>
      <c r="C555">
        <v>37</v>
      </c>
      <c r="D555">
        <v>27</v>
      </c>
      <c r="E555">
        <v>9</v>
      </c>
      <c r="F555" t="s">
        <v>703</v>
      </c>
      <c r="G555" t="s">
        <v>700</v>
      </c>
    </row>
    <row r="556" spans="1:7" x14ac:dyDescent="0.2">
      <c r="A556">
        <v>555</v>
      </c>
      <c r="B556" t="s">
        <v>140</v>
      </c>
      <c r="C556">
        <v>29</v>
      </c>
      <c r="D556">
        <v>34</v>
      </c>
      <c r="E556">
        <v>8</v>
      </c>
      <c r="F556" t="s">
        <v>703</v>
      </c>
      <c r="G556" t="s">
        <v>700</v>
      </c>
    </row>
    <row r="557" spans="1:7" x14ac:dyDescent="0.2">
      <c r="A557">
        <v>556</v>
      </c>
      <c r="B557" t="s">
        <v>139</v>
      </c>
      <c r="C557">
        <v>40</v>
      </c>
      <c r="D557">
        <v>39</v>
      </c>
      <c r="E557">
        <v>9</v>
      </c>
      <c r="F557" t="s">
        <v>701</v>
      </c>
      <c r="G557" t="s">
        <v>700</v>
      </c>
    </row>
    <row r="558" spans="1:7" x14ac:dyDescent="0.2">
      <c r="A558">
        <v>557</v>
      </c>
      <c r="B558" t="s">
        <v>138</v>
      </c>
      <c r="C558">
        <v>20</v>
      </c>
      <c r="D558">
        <v>52</v>
      </c>
      <c r="E558">
        <v>10</v>
      </c>
      <c r="F558" t="s">
        <v>703</v>
      </c>
      <c r="G558" t="s">
        <v>702</v>
      </c>
    </row>
    <row r="559" spans="1:7" x14ac:dyDescent="0.2">
      <c r="A559">
        <v>558</v>
      </c>
      <c r="B559" t="s">
        <v>137</v>
      </c>
      <c r="C559">
        <v>35</v>
      </c>
      <c r="D559">
        <v>32</v>
      </c>
      <c r="E559">
        <v>11</v>
      </c>
      <c r="F559" t="s">
        <v>703</v>
      </c>
      <c r="G559" t="s">
        <v>700</v>
      </c>
    </row>
    <row r="560" spans="1:7" x14ac:dyDescent="0.2">
      <c r="A560">
        <v>559</v>
      </c>
      <c r="B560" t="s">
        <v>136</v>
      </c>
      <c r="C560">
        <v>46</v>
      </c>
      <c r="D560">
        <v>30</v>
      </c>
      <c r="E560">
        <v>10</v>
      </c>
      <c r="F560" t="s">
        <v>703</v>
      </c>
      <c r="G560" t="s">
        <v>700</v>
      </c>
    </row>
    <row r="561" spans="1:7" x14ac:dyDescent="0.2">
      <c r="A561">
        <v>560</v>
      </c>
      <c r="B561" t="s">
        <v>135</v>
      </c>
      <c r="C561">
        <v>28</v>
      </c>
      <c r="D561">
        <v>43</v>
      </c>
      <c r="E561">
        <v>9</v>
      </c>
      <c r="F561" t="s">
        <v>703</v>
      </c>
      <c r="G561" t="s">
        <v>702</v>
      </c>
    </row>
    <row r="562" spans="1:7" x14ac:dyDescent="0.2">
      <c r="A562">
        <v>561</v>
      </c>
      <c r="B562" t="s">
        <v>134</v>
      </c>
      <c r="C562">
        <v>32</v>
      </c>
      <c r="D562">
        <v>44</v>
      </c>
      <c r="E562">
        <v>6</v>
      </c>
      <c r="F562" t="s">
        <v>703</v>
      </c>
      <c r="G562" t="s">
        <v>702</v>
      </c>
    </row>
    <row r="563" spans="1:7" x14ac:dyDescent="0.2">
      <c r="A563">
        <v>562</v>
      </c>
      <c r="B563" t="s">
        <v>133</v>
      </c>
      <c r="C563">
        <v>39</v>
      </c>
      <c r="D563">
        <v>41</v>
      </c>
      <c r="E563">
        <v>12</v>
      </c>
      <c r="F563" t="s">
        <v>703</v>
      </c>
      <c r="G563" t="s">
        <v>700</v>
      </c>
    </row>
    <row r="564" spans="1:7" x14ac:dyDescent="0.2">
      <c r="A564">
        <v>563</v>
      </c>
      <c r="B564" t="s">
        <v>132</v>
      </c>
      <c r="C564">
        <v>32</v>
      </c>
      <c r="D564">
        <v>57</v>
      </c>
      <c r="E564">
        <v>12</v>
      </c>
      <c r="F564" t="s">
        <v>701</v>
      </c>
      <c r="G564" t="s">
        <v>702</v>
      </c>
    </row>
    <row r="565" spans="1:7" x14ac:dyDescent="0.2">
      <c r="A565">
        <v>564</v>
      </c>
      <c r="B565" t="s">
        <v>131</v>
      </c>
      <c r="C565">
        <v>25</v>
      </c>
      <c r="D565">
        <v>56</v>
      </c>
      <c r="E565">
        <v>11</v>
      </c>
      <c r="F565" t="s">
        <v>703</v>
      </c>
      <c r="G565" t="s">
        <v>702</v>
      </c>
    </row>
    <row r="566" spans="1:7" x14ac:dyDescent="0.2">
      <c r="A566">
        <v>565</v>
      </c>
      <c r="B566" t="s">
        <v>130</v>
      </c>
      <c r="C566">
        <v>24</v>
      </c>
      <c r="D566">
        <v>51</v>
      </c>
      <c r="E566" t="s">
        <v>21</v>
      </c>
      <c r="F566" t="s">
        <v>703</v>
      </c>
      <c r="G566" t="s">
        <v>21</v>
      </c>
    </row>
    <row r="567" spans="1:7" x14ac:dyDescent="0.2">
      <c r="A567">
        <v>566</v>
      </c>
      <c r="B567" t="s">
        <v>129</v>
      </c>
      <c r="C567">
        <v>28</v>
      </c>
      <c r="D567">
        <v>44</v>
      </c>
      <c r="E567">
        <v>6</v>
      </c>
      <c r="F567" t="s">
        <v>703</v>
      </c>
      <c r="G567" t="s">
        <v>702</v>
      </c>
    </row>
    <row r="568" spans="1:7" x14ac:dyDescent="0.2">
      <c r="A568">
        <v>567</v>
      </c>
      <c r="B568" t="s">
        <v>128</v>
      </c>
      <c r="C568">
        <v>20</v>
      </c>
      <c r="D568">
        <v>55</v>
      </c>
      <c r="E568">
        <v>5</v>
      </c>
      <c r="F568" t="s">
        <v>703</v>
      </c>
      <c r="G568" t="s">
        <v>702</v>
      </c>
    </row>
    <row r="569" spans="1:7" x14ac:dyDescent="0.2">
      <c r="A569">
        <v>568</v>
      </c>
      <c r="B569" t="s">
        <v>127</v>
      </c>
      <c r="C569">
        <v>33</v>
      </c>
      <c r="D569">
        <v>35</v>
      </c>
      <c r="E569">
        <v>8</v>
      </c>
      <c r="F569" t="s">
        <v>701</v>
      </c>
      <c r="G569" t="s">
        <v>700</v>
      </c>
    </row>
    <row r="570" spans="1:7" x14ac:dyDescent="0.2">
      <c r="A570">
        <v>569</v>
      </c>
      <c r="B570" t="s">
        <v>126</v>
      </c>
      <c r="C570">
        <v>30</v>
      </c>
      <c r="D570">
        <v>25</v>
      </c>
      <c r="E570">
        <v>11</v>
      </c>
      <c r="F570" t="s">
        <v>701</v>
      </c>
      <c r="G570" t="s">
        <v>700</v>
      </c>
    </row>
    <row r="571" spans="1:7" x14ac:dyDescent="0.2">
      <c r="A571">
        <v>570</v>
      </c>
      <c r="B571" t="s">
        <v>125</v>
      </c>
      <c r="C571">
        <v>35</v>
      </c>
      <c r="D571">
        <v>33</v>
      </c>
      <c r="E571">
        <v>6</v>
      </c>
      <c r="F571" t="s">
        <v>703</v>
      </c>
      <c r="G571" t="s">
        <v>700</v>
      </c>
    </row>
    <row r="572" spans="1:7" x14ac:dyDescent="0.2">
      <c r="A572">
        <v>571</v>
      </c>
      <c r="B572" t="s">
        <v>124</v>
      </c>
      <c r="C572">
        <v>32</v>
      </c>
      <c r="D572">
        <v>31</v>
      </c>
      <c r="E572">
        <v>14</v>
      </c>
      <c r="F572" t="s">
        <v>703</v>
      </c>
      <c r="G572" t="s">
        <v>700</v>
      </c>
    </row>
    <row r="573" spans="1:7" x14ac:dyDescent="0.2">
      <c r="A573">
        <v>572</v>
      </c>
      <c r="B573" t="s">
        <v>123</v>
      </c>
      <c r="C573">
        <v>44</v>
      </c>
      <c r="D573">
        <v>32</v>
      </c>
      <c r="E573">
        <v>10</v>
      </c>
      <c r="F573" t="s">
        <v>701</v>
      </c>
      <c r="G573" t="s">
        <v>700</v>
      </c>
    </row>
    <row r="574" spans="1:7" x14ac:dyDescent="0.2">
      <c r="A574">
        <v>573</v>
      </c>
      <c r="B574" t="s">
        <v>122</v>
      </c>
      <c r="C574">
        <v>36</v>
      </c>
      <c r="D574">
        <v>49</v>
      </c>
      <c r="E574">
        <v>13</v>
      </c>
      <c r="F574" t="s">
        <v>701</v>
      </c>
      <c r="G574" t="s">
        <v>702</v>
      </c>
    </row>
    <row r="575" spans="1:7" x14ac:dyDescent="0.2">
      <c r="A575">
        <v>574</v>
      </c>
      <c r="B575" t="s">
        <v>121</v>
      </c>
      <c r="C575">
        <v>49</v>
      </c>
      <c r="D575">
        <v>38</v>
      </c>
      <c r="E575">
        <v>5</v>
      </c>
      <c r="F575" t="s">
        <v>703</v>
      </c>
      <c r="G575" t="s">
        <v>700</v>
      </c>
    </row>
    <row r="576" spans="1:7" x14ac:dyDescent="0.2">
      <c r="A576">
        <v>575</v>
      </c>
      <c r="B576" t="s">
        <v>120</v>
      </c>
      <c r="C576">
        <v>44</v>
      </c>
      <c r="D576">
        <v>42</v>
      </c>
      <c r="E576">
        <v>4</v>
      </c>
      <c r="F576" t="s">
        <v>703</v>
      </c>
      <c r="G576" t="s">
        <v>700</v>
      </c>
    </row>
    <row r="577" spans="1:7" x14ac:dyDescent="0.2">
      <c r="A577">
        <v>576</v>
      </c>
      <c r="B577" t="s">
        <v>119</v>
      </c>
      <c r="C577">
        <v>42</v>
      </c>
      <c r="D577">
        <v>39</v>
      </c>
      <c r="E577">
        <v>10</v>
      </c>
      <c r="F577" t="s">
        <v>703</v>
      </c>
      <c r="G577" t="s">
        <v>700</v>
      </c>
    </row>
    <row r="578" spans="1:7" x14ac:dyDescent="0.2">
      <c r="A578">
        <v>577</v>
      </c>
      <c r="B578" t="s">
        <v>118</v>
      </c>
      <c r="C578">
        <v>38</v>
      </c>
      <c r="D578">
        <v>42</v>
      </c>
      <c r="E578">
        <v>10</v>
      </c>
      <c r="F578" t="s">
        <v>701</v>
      </c>
      <c r="G578" t="s">
        <v>700</v>
      </c>
    </row>
    <row r="579" spans="1:7" x14ac:dyDescent="0.2">
      <c r="A579">
        <v>578</v>
      </c>
      <c r="B579" t="s">
        <v>117</v>
      </c>
      <c r="C579">
        <v>38</v>
      </c>
      <c r="D579">
        <v>29</v>
      </c>
      <c r="E579">
        <v>9</v>
      </c>
      <c r="F579" t="s">
        <v>701</v>
      </c>
      <c r="G579" t="s">
        <v>700</v>
      </c>
    </row>
    <row r="580" spans="1:7" x14ac:dyDescent="0.2">
      <c r="A580">
        <v>579</v>
      </c>
      <c r="B580" t="s">
        <v>116</v>
      </c>
      <c r="C580">
        <v>26</v>
      </c>
      <c r="D580">
        <v>40</v>
      </c>
      <c r="E580">
        <v>12</v>
      </c>
      <c r="F580" t="s">
        <v>703</v>
      </c>
      <c r="G580" t="s">
        <v>702</v>
      </c>
    </row>
    <row r="581" spans="1:7" x14ac:dyDescent="0.2">
      <c r="A581">
        <v>580</v>
      </c>
      <c r="B581" t="s">
        <v>115</v>
      </c>
      <c r="C581">
        <v>27</v>
      </c>
      <c r="D581">
        <v>53</v>
      </c>
      <c r="E581">
        <v>9</v>
      </c>
      <c r="F581" t="s">
        <v>703</v>
      </c>
      <c r="G581" t="s">
        <v>702</v>
      </c>
    </row>
    <row r="582" spans="1:7" x14ac:dyDescent="0.2">
      <c r="A582">
        <v>581</v>
      </c>
      <c r="B582" t="s">
        <v>114</v>
      </c>
      <c r="C582">
        <v>24</v>
      </c>
      <c r="D582">
        <v>48</v>
      </c>
      <c r="E582">
        <v>14</v>
      </c>
      <c r="F582" t="s">
        <v>701</v>
      </c>
      <c r="G582" t="s">
        <v>702</v>
      </c>
    </row>
    <row r="583" spans="1:7" x14ac:dyDescent="0.2">
      <c r="A583">
        <v>582</v>
      </c>
      <c r="B583" t="s">
        <v>113</v>
      </c>
      <c r="C583">
        <v>34</v>
      </c>
      <c r="D583">
        <v>47</v>
      </c>
      <c r="E583">
        <v>11</v>
      </c>
      <c r="F583" t="s">
        <v>703</v>
      </c>
      <c r="G583" t="s">
        <v>702</v>
      </c>
    </row>
    <row r="584" spans="1:7" x14ac:dyDescent="0.2">
      <c r="A584">
        <v>583</v>
      </c>
      <c r="B584" t="s">
        <v>112</v>
      </c>
      <c r="C584">
        <v>47</v>
      </c>
      <c r="D584">
        <v>38</v>
      </c>
      <c r="E584">
        <v>16</v>
      </c>
      <c r="F584" t="s">
        <v>701</v>
      </c>
      <c r="G584" t="s">
        <v>700</v>
      </c>
    </row>
    <row r="585" spans="1:7" x14ac:dyDescent="0.2">
      <c r="A585">
        <v>584</v>
      </c>
      <c r="B585" t="s">
        <v>111</v>
      </c>
      <c r="C585">
        <v>37</v>
      </c>
      <c r="D585">
        <v>54</v>
      </c>
      <c r="E585">
        <v>11</v>
      </c>
      <c r="F585" t="s">
        <v>701</v>
      </c>
      <c r="G585" t="s">
        <v>702</v>
      </c>
    </row>
    <row r="586" spans="1:7" x14ac:dyDescent="0.2">
      <c r="A586">
        <v>585</v>
      </c>
      <c r="B586" t="s">
        <v>110</v>
      </c>
      <c r="C586">
        <v>30</v>
      </c>
      <c r="D586">
        <v>43</v>
      </c>
      <c r="E586">
        <v>13</v>
      </c>
      <c r="F586" t="s">
        <v>701</v>
      </c>
      <c r="G586" t="s">
        <v>702</v>
      </c>
    </row>
    <row r="587" spans="1:7" x14ac:dyDescent="0.2">
      <c r="A587">
        <v>586</v>
      </c>
      <c r="B587" t="s">
        <v>109</v>
      </c>
      <c r="C587">
        <v>36</v>
      </c>
      <c r="D587">
        <v>49</v>
      </c>
      <c r="E587">
        <v>10</v>
      </c>
      <c r="F587" t="s">
        <v>703</v>
      </c>
      <c r="G587" t="s">
        <v>702</v>
      </c>
    </row>
    <row r="588" spans="1:7" x14ac:dyDescent="0.2">
      <c r="A588">
        <v>587</v>
      </c>
      <c r="B588" t="s">
        <v>108</v>
      </c>
      <c r="C588">
        <v>43</v>
      </c>
      <c r="D588">
        <v>49</v>
      </c>
      <c r="E588">
        <v>13</v>
      </c>
      <c r="F588" t="s">
        <v>701</v>
      </c>
      <c r="G588" t="s">
        <v>700</v>
      </c>
    </row>
    <row r="589" spans="1:7" x14ac:dyDescent="0.2">
      <c r="A589">
        <v>588</v>
      </c>
      <c r="B589" t="s">
        <v>107</v>
      </c>
      <c r="C589">
        <v>32</v>
      </c>
      <c r="D589">
        <v>29</v>
      </c>
      <c r="E589">
        <v>10</v>
      </c>
      <c r="F589" t="s">
        <v>703</v>
      </c>
      <c r="G589" t="s">
        <v>700</v>
      </c>
    </row>
    <row r="590" spans="1:7" x14ac:dyDescent="0.2">
      <c r="A590">
        <v>589</v>
      </c>
      <c r="B590" t="s">
        <v>106</v>
      </c>
      <c r="C590">
        <v>45</v>
      </c>
      <c r="D590">
        <v>57</v>
      </c>
      <c r="E590">
        <v>13</v>
      </c>
      <c r="F590" t="s">
        <v>701</v>
      </c>
      <c r="G590" t="s">
        <v>700</v>
      </c>
    </row>
    <row r="591" spans="1:7" x14ac:dyDescent="0.2">
      <c r="A591">
        <v>590</v>
      </c>
      <c r="B591" t="s">
        <v>105</v>
      </c>
      <c r="C591">
        <v>40</v>
      </c>
      <c r="D591">
        <v>43</v>
      </c>
      <c r="E591">
        <v>8</v>
      </c>
      <c r="F591" t="s">
        <v>703</v>
      </c>
      <c r="G591" t="s">
        <v>700</v>
      </c>
    </row>
    <row r="592" spans="1:7" x14ac:dyDescent="0.2">
      <c r="A592">
        <v>591</v>
      </c>
      <c r="B592" t="s">
        <v>104</v>
      </c>
      <c r="C592">
        <v>29</v>
      </c>
      <c r="D592">
        <v>56</v>
      </c>
      <c r="E592">
        <v>10</v>
      </c>
      <c r="F592" t="s">
        <v>703</v>
      </c>
      <c r="G592" t="s">
        <v>702</v>
      </c>
    </row>
    <row r="593" spans="1:7" x14ac:dyDescent="0.2">
      <c r="A593">
        <v>592</v>
      </c>
      <c r="B593" t="s">
        <v>103</v>
      </c>
      <c r="C593">
        <v>34</v>
      </c>
      <c r="D593">
        <v>35</v>
      </c>
      <c r="E593" t="s">
        <v>21</v>
      </c>
      <c r="F593" t="s">
        <v>703</v>
      </c>
      <c r="G593" t="s">
        <v>21</v>
      </c>
    </row>
    <row r="594" spans="1:7" x14ac:dyDescent="0.2">
      <c r="A594">
        <v>593</v>
      </c>
      <c r="B594" t="s">
        <v>102</v>
      </c>
      <c r="C594">
        <v>49</v>
      </c>
      <c r="D594">
        <v>53</v>
      </c>
      <c r="E594">
        <v>15</v>
      </c>
      <c r="F594" t="s">
        <v>703</v>
      </c>
      <c r="G594" t="s">
        <v>700</v>
      </c>
    </row>
    <row r="595" spans="1:7" x14ac:dyDescent="0.2">
      <c r="A595">
        <v>594</v>
      </c>
      <c r="B595" t="s">
        <v>101</v>
      </c>
      <c r="C595">
        <v>20</v>
      </c>
      <c r="D595">
        <v>30</v>
      </c>
      <c r="E595">
        <v>10</v>
      </c>
      <c r="F595" t="s">
        <v>703</v>
      </c>
      <c r="G595" t="s">
        <v>702</v>
      </c>
    </row>
    <row r="596" spans="1:7" x14ac:dyDescent="0.2">
      <c r="A596">
        <v>595</v>
      </c>
      <c r="B596" t="s">
        <v>100</v>
      </c>
      <c r="C596">
        <v>36</v>
      </c>
      <c r="D596">
        <v>32</v>
      </c>
      <c r="E596">
        <v>12</v>
      </c>
      <c r="F596" t="s">
        <v>701</v>
      </c>
      <c r="G596" t="s">
        <v>700</v>
      </c>
    </row>
    <row r="597" spans="1:7" x14ac:dyDescent="0.2">
      <c r="A597">
        <v>596</v>
      </c>
      <c r="B597" t="s">
        <v>99</v>
      </c>
      <c r="C597">
        <v>25</v>
      </c>
      <c r="D597">
        <v>47</v>
      </c>
      <c r="E597">
        <v>5</v>
      </c>
      <c r="F597" t="s">
        <v>703</v>
      </c>
      <c r="G597" t="s">
        <v>702</v>
      </c>
    </row>
    <row r="598" spans="1:7" x14ac:dyDescent="0.2">
      <c r="A598">
        <v>597</v>
      </c>
      <c r="B598" t="s">
        <v>98</v>
      </c>
      <c r="C598">
        <v>45</v>
      </c>
      <c r="D598">
        <v>54</v>
      </c>
      <c r="E598">
        <v>6</v>
      </c>
      <c r="F598" t="s">
        <v>701</v>
      </c>
      <c r="G598" t="s">
        <v>702</v>
      </c>
    </row>
    <row r="599" spans="1:7" x14ac:dyDescent="0.2">
      <c r="A599">
        <v>598</v>
      </c>
      <c r="B599" t="s">
        <v>97</v>
      </c>
      <c r="C599">
        <v>24</v>
      </c>
      <c r="D599">
        <v>29</v>
      </c>
      <c r="E599">
        <v>5</v>
      </c>
      <c r="F599" t="s">
        <v>701</v>
      </c>
      <c r="G599" t="s">
        <v>702</v>
      </c>
    </row>
    <row r="600" spans="1:7" x14ac:dyDescent="0.2">
      <c r="A600">
        <v>599</v>
      </c>
      <c r="B600" t="s">
        <v>96</v>
      </c>
      <c r="C600">
        <v>43</v>
      </c>
      <c r="D600">
        <v>48</v>
      </c>
      <c r="E600">
        <v>14</v>
      </c>
      <c r="F600" t="s">
        <v>701</v>
      </c>
      <c r="G600" t="s">
        <v>700</v>
      </c>
    </row>
    <row r="601" spans="1:7" x14ac:dyDescent="0.2">
      <c r="A601">
        <v>600</v>
      </c>
      <c r="B601" t="s">
        <v>95</v>
      </c>
      <c r="C601">
        <v>39</v>
      </c>
      <c r="D601">
        <v>36</v>
      </c>
      <c r="E601">
        <v>10</v>
      </c>
      <c r="F601" t="s">
        <v>703</v>
      </c>
      <c r="G601" t="s">
        <v>700</v>
      </c>
    </row>
    <row r="602" spans="1:7" x14ac:dyDescent="0.2">
      <c r="A602">
        <v>601</v>
      </c>
      <c r="B602" t="s">
        <v>94</v>
      </c>
      <c r="C602">
        <v>46</v>
      </c>
      <c r="D602">
        <v>28</v>
      </c>
      <c r="E602" t="s">
        <v>21</v>
      </c>
      <c r="F602" t="s">
        <v>701</v>
      </c>
      <c r="G602" t="s">
        <v>21</v>
      </c>
    </row>
    <row r="603" spans="1:7" x14ac:dyDescent="0.2">
      <c r="A603">
        <v>602</v>
      </c>
      <c r="B603" t="s">
        <v>93</v>
      </c>
      <c r="C603">
        <v>34</v>
      </c>
      <c r="D603">
        <v>31</v>
      </c>
      <c r="E603">
        <v>12</v>
      </c>
      <c r="F603" t="s">
        <v>703</v>
      </c>
      <c r="G603" t="s">
        <v>700</v>
      </c>
    </row>
    <row r="604" spans="1:7" x14ac:dyDescent="0.2">
      <c r="A604">
        <v>603</v>
      </c>
      <c r="B604" t="s">
        <v>92</v>
      </c>
      <c r="C604">
        <v>34</v>
      </c>
      <c r="D604">
        <v>45</v>
      </c>
      <c r="E604" t="s">
        <v>21</v>
      </c>
      <c r="F604" t="s">
        <v>703</v>
      </c>
      <c r="G604" t="s">
        <v>21</v>
      </c>
    </row>
    <row r="605" spans="1:7" x14ac:dyDescent="0.2">
      <c r="A605">
        <v>604</v>
      </c>
      <c r="B605" t="s">
        <v>91</v>
      </c>
      <c r="C605">
        <v>31</v>
      </c>
      <c r="D605">
        <v>31</v>
      </c>
      <c r="E605">
        <v>5</v>
      </c>
      <c r="F605" t="s">
        <v>701</v>
      </c>
      <c r="G605" t="s">
        <v>700</v>
      </c>
    </row>
    <row r="606" spans="1:7" x14ac:dyDescent="0.2">
      <c r="A606">
        <v>605</v>
      </c>
      <c r="B606" t="s">
        <v>90</v>
      </c>
      <c r="C606">
        <v>45</v>
      </c>
      <c r="D606">
        <v>25</v>
      </c>
      <c r="E606">
        <v>13</v>
      </c>
      <c r="F606" t="s">
        <v>701</v>
      </c>
      <c r="G606" t="s">
        <v>700</v>
      </c>
    </row>
    <row r="607" spans="1:7" x14ac:dyDescent="0.2">
      <c r="A607">
        <v>606</v>
      </c>
      <c r="B607" t="s">
        <v>89</v>
      </c>
      <c r="C607">
        <v>31</v>
      </c>
      <c r="D607">
        <v>35</v>
      </c>
      <c r="E607">
        <v>16</v>
      </c>
      <c r="F607" t="s">
        <v>701</v>
      </c>
      <c r="G607" t="s">
        <v>700</v>
      </c>
    </row>
    <row r="608" spans="1:7" x14ac:dyDescent="0.2">
      <c r="A608">
        <v>607</v>
      </c>
      <c r="B608" t="s">
        <v>88</v>
      </c>
      <c r="C608">
        <v>43</v>
      </c>
      <c r="D608">
        <v>47</v>
      </c>
      <c r="E608">
        <v>7</v>
      </c>
      <c r="F608" t="s">
        <v>703</v>
      </c>
      <c r="G608" t="s">
        <v>700</v>
      </c>
    </row>
    <row r="609" spans="1:7" x14ac:dyDescent="0.2">
      <c r="A609">
        <v>608</v>
      </c>
      <c r="B609" t="s">
        <v>87</v>
      </c>
      <c r="C609">
        <v>45</v>
      </c>
      <c r="D609">
        <v>47</v>
      </c>
      <c r="E609">
        <v>14</v>
      </c>
      <c r="F609" t="s">
        <v>703</v>
      </c>
      <c r="G609" t="s">
        <v>700</v>
      </c>
    </row>
    <row r="610" spans="1:7" x14ac:dyDescent="0.2">
      <c r="A610">
        <v>609</v>
      </c>
      <c r="B610" t="s">
        <v>86</v>
      </c>
      <c r="C610">
        <v>27</v>
      </c>
      <c r="D610">
        <v>35</v>
      </c>
      <c r="E610">
        <v>14</v>
      </c>
      <c r="F610" t="s">
        <v>701</v>
      </c>
      <c r="G610" t="s">
        <v>700</v>
      </c>
    </row>
    <row r="611" spans="1:7" x14ac:dyDescent="0.2">
      <c r="A611">
        <v>610</v>
      </c>
      <c r="B611" t="s">
        <v>85</v>
      </c>
      <c r="C611">
        <v>46</v>
      </c>
      <c r="D611">
        <v>51</v>
      </c>
      <c r="E611">
        <v>8</v>
      </c>
      <c r="F611" t="s">
        <v>703</v>
      </c>
      <c r="G611" t="s">
        <v>700</v>
      </c>
    </row>
    <row r="612" spans="1:7" x14ac:dyDescent="0.2">
      <c r="A612">
        <v>611</v>
      </c>
      <c r="B612" t="s">
        <v>84</v>
      </c>
      <c r="C612">
        <v>36</v>
      </c>
      <c r="D612">
        <v>26</v>
      </c>
      <c r="E612" t="s">
        <v>21</v>
      </c>
      <c r="F612" t="s">
        <v>703</v>
      </c>
      <c r="G612" t="s">
        <v>21</v>
      </c>
    </row>
    <row r="613" spans="1:7" x14ac:dyDescent="0.2">
      <c r="A613">
        <v>612</v>
      </c>
      <c r="B613" t="s">
        <v>83</v>
      </c>
      <c r="C613">
        <v>20</v>
      </c>
      <c r="D613">
        <v>41</v>
      </c>
      <c r="E613">
        <v>16</v>
      </c>
      <c r="F613" t="s">
        <v>703</v>
      </c>
      <c r="G613" t="s">
        <v>702</v>
      </c>
    </row>
    <row r="614" spans="1:7" x14ac:dyDescent="0.2">
      <c r="A614">
        <v>613</v>
      </c>
      <c r="B614" t="s">
        <v>82</v>
      </c>
      <c r="C614">
        <v>49</v>
      </c>
      <c r="D614">
        <v>59</v>
      </c>
      <c r="E614">
        <v>16</v>
      </c>
      <c r="F614" t="s">
        <v>703</v>
      </c>
      <c r="G614" t="s">
        <v>700</v>
      </c>
    </row>
    <row r="615" spans="1:7" x14ac:dyDescent="0.2">
      <c r="A615">
        <v>614</v>
      </c>
      <c r="B615" t="s">
        <v>81</v>
      </c>
      <c r="C615">
        <v>37</v>
      </c>
      <c r="D615">
        <v>58</v>
      </c>
      <c r="E615">
        <v>8</v>
      </c>
      <c r="F615" t="s">
        <v>703</v>
      </c>
      <c r="G615" t="s">
        <v>702</v>
      </c>
    </row>
    <row r="616" spans="1:7" x14ac:dyDescent="0.2">
      <c r="A616">
        <v>615</v>
      </c>
      <c r="B616" t="s">
        <v>80</v>
      </c>
      <c r="C616">
        <v>27</v>
      </c>
      <c r="D616">
        <v>36</v>
      </c>
      <c r="E616">
        <v>14</v>
      </c>
      <c r="F616" t="s">
        <v>703</v>
      </c>
      <c r="G616" t="s">
        <v>700</v>
      </c>
    </row>
    <row r="617" spans="1:7" x14ac:dyDescent="0.2">
      <c r="A617">
        <v>616</v>
      </c>
      <c r="B617" t="s">
        <v>79</v>
      </c>
      <c r="C617">
        <v>28</v>
      </c>
      <c r="D617">
        <v>31</v>
      </c>
      <c r="E617">
        <v>10</v>
      </c>
      <c r="F617" t="s">
        <v>701</v>
      </c>
      <c r="G617" t="s">
        <v>700</v>
      </c>
    </row>
    <row r="618" spans="1:7" x14ac:dyDescent="0.2">
      <c r="A618">
        <v>617</v>
      </c>
      <c r="B618" t="s">
        <v>78</v>
      </c>
      <c r="C618">
        <v>37</v>
      </c>
      <c r="D618">
        <v>31</v>
      </c>
      <c r="E618">
        <v>12</v>
      </c>
      <c r="F618" t="s">
        <v>703</v>
      </c>
      <c r="G618" t="s">
        <v>700</v>
      </c>
    </row>
    <row r="619" spans="1:7" x14ac:dyDescent="0.2">
      <c r="A619">
        <v>618</v>
      </c>
      <c r="B619" t="s">
        <v>77</v>
      </c>
      <c r="C619">
        <v>24</v>
      </c>
      <c r="D619">
        <v>49</v>
      </c>
      <c r="E619">
        <v>11</v>
      </c>
      <c r="F619" t="s">
        <v>703</v>
      </c>
      <c r="G619" t="s">
        <v>702</v>
      </c>
    </row>
    <row r="620" spans="1:7" x14ac:dyDescent="0.2">
      <c r="A620">
        <v>619</v>
      </c>
      <c r="B620" t="s">
        <v>76</v>
      </c>
      <c r="C620">
        <v>43</v>
      </c>
      <c r="D620">
        <v>39</v>
      </c>
      <c r="E620">
        <v>11</v>
      </c>
      <c r="F620" t="s">
        <v>703</v>
      </c>
      <c r="G620" t="s">
        <v>700</v>
      </c>
    </row>
    <row r="621" spans="1:7" x14ac:dyDescent="0.2">
      <c r="A621">
        <v>620</v>
      </c>
      <c r="B621" t="s">
        <v>75</v>
      </c>
      <c r="C621">
        <v>50</v>
      </c>
      <c r="D621">
        <v>58</v>
      </c>
      <c r="E621">
        <v>9</v>
      </c>
      <c r="F621" t="s">
        <v>703</v>
      </c>
      <c r="G621" t="s">
        <v>700</v>
      </c>
    </row>
    <row r="622" spans="1:7" x14ac:dyDescent="0.2">
      <c r="A622">
        <v>621</v>
      </c>
      <c r="B622" t="s">
        <v>74</v>
      </c>
      <c r="C622">
        <v>37</v>
      </c>
      <c r="D622">
        <v>49</v>
      </c>
      <c r="E622">
        <v>9</v>
      </c>
      <c r="F622" t="s">
        <v>701</v>
      </c>
      <c r="G622" t="s">
        <v>702</v>
      </c>
    </row>
    <row r="623" spans="1:7" x14ac:dyDescent="0.2">
      <c r="A623">
        <v>622</v>
      </c>
      <c r="B623" t="s">
        <v>73</v>
      </c>
      <c r="C623">
        <v>39</v>
      </c>
      <c r="D623">
        <v>31</v>
      </c>
      <c r="E623">
        <v>12</v>
      </c>
      <c r="F623" t="s">
        <v>701</v>
      </c>
      <c r="G623" t="s">
        <v>700</v>
      </c>
    </row>
    <row r="624" spans="1:7" x14ac:dyDescent="0.2">
      <c r="A624">
        <v>623</v>
      </c>
      <c r="B624" t="s">
        <v>72</v>
      </c>
      <c r="C624">
        <v>34</v>
      </c>
      <c r="D624">
        <v>53</v>
      </c>
      <c r="E624">
        <v>9</v>
      </c>
      <c r="F624" t="s">
        <v>701</v>
      </c>
      <c r="G624" t="s">
        <v>702</v>
      </c>
    </row>
    <row r="625" spans="1:7" x14ac:dyDescent="0.2">
      <c r="A625">
        <v>624</v>
      </c>
      <c r="B625" t="s">
        <v>71</v>
      </c>
      <c r="C625">
        <v>48</v>
      </c>
      <c r="D625">
        <v>26</v>
      </c>
      <c r="E625">
        <v>9</v>
      </c>
      <c r="F625" t="s">
        <v>703</v>
      </c>
      <c r="G625" t="s">
        <v>700</v>
      </c>
    </row>
    <row r="626" spans="1:7" x14ac:dyDescent="0.2">
      <c r="A626">
        <v>625</v>
      </c>
      <c r="B626" t="s">
        <v>70</v>
      </c>
      <c r="C626">
        <v>20</v>
      </c>
      <c r="D626">
        <v>41</v>
      </c>
      <c r="E626">
        <v>5</v>
      </c>
      <c r="F626" t="s">
        <v>701</v>
      </c>
      <c r="G626" t="s">
        <v>702</v>
      </c>
    </row>
    <row r="627" spans="1:7" x14ac:dyDescent="0.2">
      <c r="A627">
        <v>626</v>
      </c>
      <c r="B627" t="s">
        <v>69</v>
      </c>
      <c r="C627">
        <v>22</v>
      </c>
      <c r="D627">
        <v>55</v>
      </c>
      <c r="E627">
        <v>6</v>
      </c>
      <c r="F627" t="s">
        <v>703</v>
      </c>
      <c r="G627" t="s">
        <v>702</v>
      </c>
    </row>
    <row r="628" spans="1:7" x14ac:dyDescent="0.2">
      <c r="A628">
        <v>627</v>
      </c>
      <c r="B628" t="s">
        <v>68</v>
      </c>
      <c r="C628">
        <v>47</v>
      </c>
      <c r="D628">
        <v>45</v>
      </c>
      <c r="E628">
        <v>12</v>
      </c>
      <c r="F628" t="s">
        <v>701</v>
      </c>
      <c r="G628" t="s">
        <v>700</v>
      </c>
    </row>
    <row r="629" spans="1:7" x14ac:dyDescent="0.2">
      <c r="A629">
        <v>628</v>
      </c>
      <c r="B629" t="s">
        <v>67</v>
      </c>
      <c r="C629">
        <v>29</v>
      </c>
      <c r="D629">
        <v>39</v>
      </c>
      <c r="E629">
        <v>4</v>
      </c>
      <c r="F629" t="s">
        <v>701</v>
      </c>
      <c r="G629" t="s">
        <v>702</v>
      </c>
    </row>
    <row r="630" spans="1:7" x14ac:dyDescent="0.2">
      <c r="A630">
        <v>629</v>
      </c>
      <c r="B630" t="s">
        <v>66</v>
      </c>
      <c r="C630">
        <v>29</v>
      </c>
      <c r="D630">
        <v>58</v>
      </c>
      <c r="E630">
        <v>9</v>
      </c>
      <c r="F630" t="s">
        <v>703</v>
      </c>
      <c r="G630" t="s">
        <v>702</v>
      </c>
    </row>
    <row r="631" spans="1:7" x14ac:dyDescent="0.2">
      <c r="A631">
        <v>630</v>
      </c>
      <c r="B631" t="s">
        <v>65</v>
      </c>
      <c r="C631">
        <v>31</v>
      </c>
      <c r="D631">
        <v>49</v>
      </c>
      <c r="E631">
        <v>8</v>
      </c>
      <c r="F631" t="s">
        <v>701</v>
      </c>
      <c r="G631" t="s">
        <v>702</v>
      </c>
    </row>
    <row r="632" spans="1:7" x14ac:dyDescent="0.2">
      <c r="A632">
        <v>631</v>
      </c>
      <c r="B632" t="s">
        <v>64</v>
      </c>
      <c r="C632">
        <v>33</v>
      </c>
      <c r="D632">
        <v>27</v>
      </c>
      <c r="E632">
        <v>8</v>
      </c>
      <c r="F632" t="s">
        <v>701</v>
      </c>
      <c r="G632" t="s">
        <v>700</v>
      </c>
    </row>
    <row r="633" spans="1:7" x14ac:dyDescent="0.2">
      <c r="A633">
        <v>632</v>
      </c>
      <c r="B633" t="s">
        <v>63</v>
      </c>
      <c r="C633">
        <v>26</v>
      </c>
      <c r="D633">
        <v>32</v>
      </c>
      <c r="E633">
        <v>5</v>
      </c>
      <c r="F633" t="s">
        <v>701</v>
      </c>
      <c r="G633" t="s">
        <v>702</v>
      </c>
    </row>
    <row r="634" spans="1:7" x14ac:dyDescent="0.2">
      <c r="A634">
        <v>633</v>
      </c>
      <c r="B634" t="s">
        <v>62</v>
      </c>
      <c r="C634">
        <v>36</v>
      </c>
      <c r="D634">
        <v>30</v>
      </c>
      <c r="E634">
        <v>13</v>
      </c>
      <c r="F634" t="s">
        <v>703</v>
      </c>
      <c r="G634" t="s">
        <v>700</v>
      </c>
    </row>
    <row r="635" spans="1:7" x14ac:dyDescent="0.2">
      <c r="A635">
        <v>634</v>
      </c>
      <c r="B635" t="s">
        <v>61</v>
      </c>
      <c r="C635">
        <v>23</v>
      </c>
      <c r="D635">
        <v>51</v>
      </c>
      <c r="E635">
        <v>15</v>
      </c>
      <c r="F635" t="s">
        <v>701</v>
      </c>
      <c r="G635" t="s">
        <v>702</v>
      </c>
    </row>
    <row r="636" spans="1:7" x14ac:dyDescent="0.2">
      <c r="A636">
        <v>635</v>
      </c>
      <c r="B636" t="s">
        <v>60</v>
      </c>
      <c r="C636">
        <v>36</v>
      </c>
      <c r="D636">
        <v>41</v>
      </c>
      <c r="E636">
        <v>13</v>
      </c>
      <c r="F636" t="s">
        <v>701</v>
      </c>
      <c r="G636" t="s">
        <v>700</v>
      </c>
    </row>
    <row r="637" spans="1:7" x14ac:dyDescent="0.2">
      <c r="A637">
        <v>636</v>
      </c>
      <c r="B637" t="s">
        <v>59</v>
      </c>
      <c r="C637">
        <v>34</v>
      </c>
      <c r="D637">
        <v>47</v>
      </c>
      <c r="E637">
        <v>10</v>
      </c>
      <c r="F637" t="s">
        <v>701</v>
      </c>
      <c r="G637" t="s">
        <v>702</v>
      </c>
    </row>
    <row r="638" spans="1:7" x14ac:dyDescent="0.2">
      <c r="A638">
        <v>637</v>
      </c>
      <c r="B638" t="s">
        <v>58</v>
      </c>
      <c r="C638">
        <v>47</v>
      </c>
      <c r="D638">
        <v>34</v>
      </c>
      <c r="E638">
        <v>8</v>
      </c>
      <c r="F638" t="s">
        <v>701</v>
      </c>
      <c r="G638" t="s">
        <v>700</v>
      </c>
    </row>
    <row r="639" spans="1:7" x14ac:dyDescent="0.2">
      <c r="A639">
        <v>638</v>
      </c>
      <c r="B639" t="s">
        <v>57</v>
      </c>
      <c r="C639">
        <v>41</v>
      </c>
      <c r="D639">
        <v>52</v>
      </c>
      <c r="E639">
        <v>11</v>
      </c>
      <c r="F639" t="s">
        <v>701</v>
      </c>
      <c r="G639" t="s">
        <v>702</v>
      </c>
    </row>
    <row r="640" spans="1:7" x14ac:dyDescent="0.2">
      <c r="A640">
        <v>639</v>
      </c>
      <c r="B640" t="s">
        <v>56</v>
      </c>
      <c r="C640">
        <v>40</v>
      </c>
      <c r="D640">
        <v>52</v>
      </c>
      <c r="E640">
        <v>6</v>
      </c>
      <c r="F640" t="s">
        <v>703</v>
      </c>
      <c r="G640" t="s">
        <v>702</v>
      </c>
    </row>
    <row r="641" spans="1:7" x14ac:dyDescent="0.2">
      <c r="A641">
        <v>640</v>
      </c>
      <c r="B641" t="s">
        <v>55</v>
      </c>
      <c r="C641">
        <v>27</v>
      </c>
      <c r="D641">
        <v>51</v>
      </c>
      <c r="E641">
        <v>9</v>
      </c>
      <c r="F641" t="s">
        <v>701</v>
      </c>
      <c r="G641" t="s">
        <v>702</v>
      </c>
    </row>
    <row r="642" spans="1:7" x14ac:dyDescent="0.2">
      <c r="A642">
        <v>641</v>
      </c>
      <c r="B642" t="s">
        <v>54</v>
      </c>
      <c r="C642">
        <v>21</v>
      </c>
      <c r="D642">
        <v>41</v>
      </c>
      <c r="E642">
        <v>7</v>
      </c>
      <c r="F642" t="s">
        <v>703</v>
      </c>
      <c r="G642" t="s">
        <v>702</v>
      </c>
    </row>
    <row r="643" spans="1:7" x14ac:dyDescent="0.2">
      <c r="A643">
        <v>642</v>
      </c>
      <c r="B643" t="s">
        <v>53</v>
      </c>
      <c r="C643">
        <v>46</v>
      </c>
      <c r="D643">
        <v>46</v>
      </c>
      <c r="E643">
        <v>10</v>
      </c>
      <c r="F643" t="s">
        <v>703</v>
      </c>
      <c r="G643" t="s">
        <v>700</v>
      </c>
    </row>
    <row r="644" spans="1:7" x14ac:dyDescent="0.2">
      <c r="A644">
        <v>643</v>
      </c>
      <c r="B644" t="s">
        <v>52</v>
      </c>
      <c r="C644">
        <v>26</v>
      </c>
      <c r="D644">
        <v>40</v>
      </c>
      <c r="E644">
        <v>8</v>
      </c>
      <c r="F644" t="s">
        <v>701</v>
      </c>
      <c r="G644" t="s">
        <v>702</v>
      </c>
    </row>
    <row r="645" spans="1:7" x14ac:dyDescent="0.2">
      <c r="A645">
        <v>644</v>
      </c>
      <c r="B645" t="s">
        <v>51</v>
      </c>
      <c r="C645">
        <v>40</v>
      </c>
      <c r="D645">
        <v>58</v>
      </c>
      <c r="E645">
        <v>10</v>
      </c>
      <c r="F645" t="s">
        <v>703</v>
      </c>
      <c r="G645" t="s">
        <v>702</v>
      </c>
    </row>
    <row r="646" spans="1:7" x14ac:dyDescent="0.2">
      <c r="A646">
        <v>645</v>
      </c>
      <c r="B646" t="s">
        <v>50</v>
      </c>
      <c r="C646">
        <v>23</v>
      </c>
      <c r="D646">
        <v>25</v>
      </c>
      <c r="E646">
        <v>11</v>
      </c>
      <c r="F646" t="s">
        <v>703</v>
      </c>
      <c r="G646" t="s">
        <v>700</v>
      </c>
    </row>
    <row r="647" spans="1:7" x14ac:dyDescent="0.2">
      <c r="A647">
        <v>646</v>
      </c>
      <c r="B647" t="s">
        <v>49</v>
      </c>
      <c r="C647">
        <v>46</v>
      </c>
      <c r="D647">
        <v>42</v>
      </c>
      <c r="E647">
        <v>11</v>
      </c>
      <c r="F647" t="s">
        <v>701</v>
      </c>
      <c r="G647" t="s">
        <v>700</v>
      </c>
    </row>
    <row r="648" spans="1:7" x14ac:dyDescent="0.2">
      <c r="A648">
        <v>647</v>
      </c>
      <c r="B648" t="s">
        <v>48</v>
      </c>
      <c r="C648">
        <v>43</v>
      </c>
      <c r="D648">
        <v>56</v>
      </c>
      <c r="E648">
        <v>8</v>
      </c>
      <c r="F648" t="s">
        <v>701</v>
      </c>
      <c r="G648" t="s">
        <v>702</v>
      </c>
    </row>
    <row r="649" spans="1:7" x14ac:dyDescent="0.2">
      <c r="A649">
        <v>648</v>
      </c>
      <c r="B649" t="s">
        <v>47</v>
      </c>
      <c r="C649">
        <v>50</v>
      </c>
      <c r="D649">
        <v>46</v>
      </c>
      <c r="E649">
        <v>12</v>
      </c>
      <c r="F649" t="s">
        <v>703</v>
      </c>
      <c r="G649" t="s">
        <v>700</v>
      </c>
    </row>
    <row r="650" spans="1:7" x14ac:dyDescent="0.2">
      <c r="A650">
        <v>649</v>
      </c>
      <c r="B650" t="s">
        <v>46</v>
      </c>
      <c r="C650">
        <v>44</v>
      </c>
      <c r="D650">
        <v>40</v>
      </c>
      <c r="E650">
        <v>13</v>
      </c>
      <c r="F650" t="s">
        <v>701</v>
      </c>
      <c r="G650" t="s">
        <v>700</v>
      </c>
    </row>
    <row r="651" spans="1:7" x14ac:dyDescent="0.2">
      <c r="A651">
        <v>650</v>
      </c>
      <c r="B651" t="s">
        <v>45</v>
      </c>
      <c r="C651">
        <v>25</v>
      </c>
      <c r="D651">
        <v>53</v>
      </c>
      <c r="E651">
        <v>10</v>
      </c>
      <c r="F651" t="s">
        <v>703</v>
      </c>
      <c r="G651" t="s">
        <v>702</v>
      </c>
    </row>
    <row r="652" spans="1:7" x14ac:dyDescent="0.2">
      <c r="A652">
        <v>651</v>
      </c>
      <c r="B652" t="s">
        <v>44</v>
      </c>
      <c r="C652">
        <v>37</v>
      </c>
      <c r="D652">
        <v>41</v>
      </c>
      <c r="E652">
        <v>5</v>
      </c>
      <c r="F652" t="s">
        <v>701</v>
      </c>
      <c r="G652" t="s">
        <v>700</v>
      </c>
    </row>
    <row r="653" spans="1:7" x14ac:dyDescent="0.2">
      <c r="A653">
        <v>652</v>
      </c>
      <c r="B653" t="s">
        <v>43</v>
      </c>
      <c r="C653">
        <v>37</v>
      </c>
      <c r="D653">
        <v>29</v>
      </c>
      <c r="E653">
        <v>6</v>
      </c>
      <c r="F653" t="s">
        <v>701</v>
      </c>
      <c r="G653" t="s">
        <v>700</v>
      </c>
    </row>
    <row r="654" spans="1:7" x14ac:dyDescent="0.2">
      <c r="A654">
        <v>653</v>
      </c>
      <c r="B654" t="s">
        <v>42</v>
      </c>
      <c r="C654">
        <v>25</v>
      </c>
      <c r="D654">
        <v>52</v>
      </c>
      <c r="E654">
        <v>10</v>
      </c>
      <c r="F654" t="s">
        <v>701</v>
      </c>
      <c r="G654" t="s">
        <v>702</v>
      </c>
    </row>
    <row r="655" spans="1:7" x14ac:dyDescent="0.2">
      <c r="A655">
        <v>654</v>
      </c>
      <c r="B655" t="s">
        <v>41</v>
      </c>
      <c r="C655">
        <v>23</v>
      </c>
      <c r="D655">
        <v>32</v>
      </c>
      <c r="E655">
        <v>8</v>
      </c>
      <c r="F655" t="s">
        <v>703</v>
      </c>
      <c r="G655" t="s">
        <v>702</v>
      </c>
    </row>
    <row r="656" spans="1:7" x14ac:dyDescent="0.2">
      <c r="A656">
        <v>655</v>
      </c>
      <c r="B656" t="s">
        <v>40</v>
      </c>
      <c r="C656">
        <v>26</v>
      </c>
      <c r="D656">
        <v>28</v>
      </c>
      <c r="E656">
        <v>9</v>
      </c>
      <c r="F656" t="s">
        <v>703</v>
      </c>
      <c r="G656" t="s">
        <v>700</v>
      </c>
    </row>
    <row r="657" spans="1:7" x14ac:dyDescent="0.2">
      <c r="A657">
        <v>656</v>
      </c>
      <c r="B657" t="s">
        <v>39</v>
      </c>
      <c r="C657">
        <v>33</v>
      </c>
      <c r="D657">
        <v>37</v>
      </c>
      <c r="E657">
        <v>6</v>
      </c>
      <c r="F657" t="s">
        <v>701</v>
      </c>
      <c r="G657" t="s">
        <v>700</v>
      </c>
    </row>
    <row r="658" spans="1:7" x14ac:dyDescent="0.2">
      <c r="A658">
        <v>657</v>
      </c>
      <c r="B658" t="s">
        <v>38</v>
      </c>
      <c r="C658">
        <v>40</v>
      </c>
      <c r="D658">
        <v>52</v>
      </c>
      <c r="E658">
        <v>5</v>
      </c>
      <c r="F658" t="s">
        <v>701</v>
      </c>
      <c r="G658" t="s">
        <v>702</v>
      </c>
    </row>
    <row r="659" spans="1:7" x14ac:dyDescent="0.2">
      <c r="A659">
        <v>658</v>
      </c>
      <c r="B659" t="s">
        <v>37</v>
      </c>
      <c r="C659">
        <v>21</v>
      </c>
      <c r="D659">
        <v>40</v>
      </c>
      <c r="E659">
        <v>11</v>
      </c>
      <c r="F659" t="s">
        <v>703</v>
      </c>
      <c r="G659" t="s">
        <v>702</v>
      </c>
    </row>
    <row r="660" spans="1:7" x14ac:dyDescent="0.2">
      <c r="A660">
        <v>659</v>
      </c>
      <c r="B660" t="s">
        <v>36</v>
      </c>
      <c r="C660">
        <v>47</v>
      </c>
      <c r="D660">
        <v>40</v>
      </c>
      <c r="E660">
        <v>4</v>
      </c>
      <c r="F660" t="s">
        <v>703</v>
      </c>
      <c r="G660" t="s">
        <v>700</v>
      </c>
    </row>
    <row r="661" spans="1:7" x14ac:dyDescent="0.2">
      <c r="A661">
        <v>660</v>
      </c>
      <c r="B661" t="s">
        <v>35</v>
      </c>
      <c r="C661">
        <v>30</v>
      </c>
      <c r="D661">
        <v>43</v>
      </c>
      <c r="E661">
        <v>8</v>
      </c>
      <c r="F661" t="s">
        <v>703</v>
      </c>
      <c r="G661" t="s">
        <v>702</v>
      </c>
    </row>
    <row r="662" spans="1:7" x14ac:dyDescent="0.2">
      <c r="A662">
        <v>661</v>
      </c>
      <c r="B662" t="s">
        <v>34</v>
      </c>
      <c r="C662">
        <v>27</v>
      </c>
      <c r="D662">
        <v>47</v>
      </c>
      <c r="E662">
        <v>11</v>
      </c>
      <c r="F662" t="s">
        <v>703</v>
      </c>
      <c r="G662" t="s">
        <v>702</v>
      </c>
    </row>
    <row r="663" spans="1:7" x14ac:dyDescent="0.2">
      <c r="A663">
        <v>662</v>
      </c>
      <c r="B663" t="s">
        <v>33</v>
      </c>
      <c r="C663">
        <v>37</v>
      </c>
      <c r="D663">
        <v>38</v>
      </c>
      <c r="E663">
        <v>17</v>
      </c>
      <c r="F663" t="s">
        <v>701</v>
      </c>
      <c r="G663" t="s">
        <v>700</v>
      </c>
    </row>
    <row r="664" spans="1:7" x14ac:dyDescent="0.2">
      <c r="A664">
        <v>663</v>
      </c>
      <c r="B664" t="s">
        <v>32</v>
      </c>
      <c r="C664">
        <v>30</v>
      </c>
      <c r="D664">
        <v>48</v>
      </c>
      <c r="E664">
        <v>8</v>
      </c>
      <c r="F664" t="s">
        <v>703</v>
      </c>
      <c r="G664" t="s">
        <v>702</v>
      </c>
    </row>
    <row r="665" spans="1:7" x14ac:dyDescent="0.2">
      <c r="A665">
        <v>664</v>
      </c>
      <c r="B665" t="s">
        <v>31</v>
      </c>
      <c r="C665">
        <v>34</v>
      </c>
      <c r="D665">
        <v>55</v>
      </c>
      <c r="E665">
        <v>7</v>
      </c>
      <c r="F665" t="s">
        <v>703</v>
      </c>
      <c r="G665" t="s">
        <v>702</v>
      </c>
    </row>
    <row r="666" spans="1:7" x14ac:dyDescent="0.2">
      <c r="A666">
        <v>665</v>
      </c>
      <c r="B666" t="s">
        <v>30</v>
      </c>
      <c r="C666">
        <v>30</v>
      </c>
      <c r="D666">
        <v>37</v>
      </c>
      <c r="E666">
        <v>6</v>
      </c>
      <c r="F666" t="s">
        <v>701</v>
      </c>
      <c r="G666" t="s">
        <v>702</v>
      </c>
    </row>
    <row r="667" spans="1:7" x14ac:dyDescent="0.2">
      <c r="A667">
        <v>666</v>
      </c>
      <c r="B667" t="s">
        <v>29</v>
      </c>
      <c r="C667">
        <v>37</v>
      </c>
      <c r="D667">
        <v>51</v>
      </c>
      <c r="E667">
        <v>5</v>
      </c>
      <c r="F667" t="s">
        <v>703</v>
      </c>
      <c r="G667" t="s">
        <v>702</v>
      </c>
    </row>
    <row r="668" spans="1:7" x14ac:dyDescent="0.2">
      <c r="A668">
        <v>667</v>
      </c>
      <c r="B668" t="s">
        <v>28</v>
      </c>
      <c r="C668">
        <v>29</v>
      </c>
      <c r="D668">
        <v>50</v>
      </c>
      <c r="E668">
        <v>13</v>
      </c>
      <c r="F668" t="s">
        <v>703</v>
      </c>
      <c r="G668" t="s">
        <v>702</v>
      </c>
    </row>
    <row r="669" spans="1:7" x14ac:dyDescent="0.2">
      <c r="A669">
        <v>668</v>
      </c>
      <c r="B669" t="s">
        <v>27</v>
      </c>
      <c r="C669">
        <v>46</v>
      </c>
      <c r="D669">
        <v>29</v>
      </c>
      <c r="E669">
        <v>11</v>
      </c>
      <c r="F669" t="s">
        <v>703</v>
      </c>
      <c r="G669" t="s">
        <v>700</v>
      </c>
    </row>
    <row r="670" spans="1:7" x14ac:dyDescent="0.2">
      <c r="A670">
        <v>669</v>
      </c>
      <c r="B670" t="s">
        <v>26</v>
      </c>
      <c r="C670">
        <v>36</v>
      </c>
      <c r="D670">
        <v>42</v>
      </c>
      <c r="E670">
        <v>8</v>
      </c>
      <c r="F670" t="s">
        <v>701</v>
      </c>
      <c r="G670" t="s">
        <v>700</v>
      </c>
    </row>
    <row r="671" spans="1:7" x14ac:dyDescent="0.2">
      <c r="A671">
        <v>670</v>
      </c>
      <c r="B671" t="s">
        <v>25</v>
      </c>
      <c r="C671">
        <v>39</v>
      </c>
      <c r="D671">
        <v>29</v>
      </c>
      <c r="E671">
        <v>16</v>
      </c>
      <c r="F671" t="s">
        <v>703</v>
      </c>
      <c r="G671" t="s">
        <v>700</v>
      </c>
    </row>
    <row r="672" spans="1:7" x14ac:dyDescent="0.2">
      <c r="A672">
        <v>671</v>
      </c>
      <c r="B672" t="s">
        <v>24</v>
      </c>
      <c r="C672">
        <v>24</v>
      </c>
      <c r="D672">
        <v>54</v>
      </c>
      <c r="E672">
        <v>11</v>
      </c>
      <c r="F672" t="s">
        <v>703</v>
      </c>
      <c r="G672" t="s">
        <v>702</v>
      </c>
    </row>
    <row r="673" spans="1:7" x14ac:dyDescent="0.2">
      <c r="A673">
        <v>672</v>
      </c>
      <c r="B673" t="s">
        <v>23</v>
      </c>
      <c r="C673">
        <v>32</v>
      </c>
      <c r="D673">
        <v>52</v>
      </c>
      <c r="E673">
        <v>11</v>
      </c>
      <c r="F673" t="s">
        <v>701</v>
      </c>
      <c r="G673" t="s">
        <v>702</v>
      </c>
    </row>
    <row r="674" spans="1:7" x14ac:dyDescent="0.2">
      <c r="A674">
        <v>673</v>
      </c>
      <c r="B674" t="s">
        <v>22</v>
      </c>
      <c r="C674">
        <v>48</v>
      </c>
      <c r="D674">
        <v>47</v>
      </c>
      <c r="E674">
        <v>11</v>
      </c>
      <c r="F674" t="s">
        <v>701</v>
      </c>
      <c r="G674" t="s">
        <v>700</v>
      </c>
    </row>
    <row r="675" spans="1:7" x14ac:dyDescent="0.2">
      <c r="A675">
        <v>674</v>
      </c>
      <c r="B675" t="s">
        <v>20</v>
      </c>
      <c r="C675">
        <v>29</v>
      </c>
      <c r="D675">
        <v>47</v>
      </c>
      <c r="E675">
        <v>11</v>
      </c>
      <c r="F675" t="s">
        <v>703</v>
      </c>
      <c r="G675" t="s">
        <v>702</v>
      </c>
    </row>
    <row r="676" spans="1:7" x14ac:dyDescent="0.2">
      <c r="A676">
        <v>675</v>
      </c>
      <c r="B676" t="s">
        <v>19</v>
      </c>
      <c r="C676">
        <v>25</v>
      </c>
      <c r="D676">
        <v>36</v>
      </c>
      <c r="E676">
        <v>9</v>
      </c>
      <c r="F676" t="s">
        <v>701</v>
      </c>
      <c r="G676" t="s">
        <v>702</v>
      </c>
    </row>
    <row r="677" spans="1:7" x14ac:dyDescent="0.2">
      <c r="A677">
        <v>676</v>
      </c>
      <c r="B677" t="s">
        <v>18</v>
      </c>
      <c r="C677">
        <v>49</v>
      </c>
      <c r="D677">
        <v>26</v>
      </c>
      <c r="E677">
        <v>11</v>
      </c>
      <c r="F677" t="s">
        <v>701</v>
      </c>
      <c r="G677" t="s">
        <v>700</v>
      </c>
    </row>
    <row r="678" spans="1:7" x14ac:dyDescent="0.2">
      <c r="A678">
        <v>677</v>
      </c>
      <c r="B678" t="s">
        <v>17</v>
      </c>
      <c r="C678">
        <v>43</v>
      </c>
      <c r="D678">
        <v>81</v>
      </c>
      <c r="E678">
        <v>9</v>
      </c>
      <c r="F678" t="s">
        <v>703</v>
      </c>
      <c r="G678" t="s">
        <v>702</v>
      </c>
    </row>
    <row r="679" spans="1:7" x14ac:dyDescent="0.2">
      <c r="A679">
        <v>678</v>
      </c>
      <c r="B679" t="s">
        <v>16</v>
      </c>
      <c r="C679">
        <v>43</v>
      </c>
      <c r="D679">
        <v>57</v>
      </c>
      <c r="E679">
        <v>12</v>
      </c>
      <c r="F679" t="s">
        <v>703</v>
      </c>
      <c r="G679" t="s">
        <v>702</v>
      </c>
    </row>
    <row r="680" spans="1:7" x14ac:dyDescent="0.2">
      <c r="A680">
        <v>679</v>
      </c>
      <c r="B680" t="s">
        <v>15</v>
      </c>
      <c r="C680">
        <v>40</v>
      </c>
      <c r="D680">
        <v>25</v>
      </c>
      <c r="E680">
        <v>6</v>
      </c>
      <c r="F680" t="s">
        <v>701</v>
      </c>
      <c r="G680" t="s">
        <v>700</v>
      </c>
    </row>
    <row r="681" spans="1:7" x14ac:dyDescent="0.2">
      <c r="A681">
        <v>680</v>
      </c>
      <c r="B681" t="s">
        <v>14</v>
      </c>
      <c r="C681">
        <v>27</v>
      </c>
      <c r="D681">
        <v>30</v>
      </c>
      <c r="E681">
        <v>11</v>
      </c>
      <c r="F681" t="s">
        <v>703</v>
      </c>
      <c r="G681" t="s">
        <v>700</v>
      </c>
    </row>
    <row r="682" spans="1:7" x14ac:dyDescent="0.2">
      <c r="A682">
        <v>681</v>
      </c>
      <c r="B682" t="s">
        <v>13</v>
      </c>
      <c r="C682">
        <v>25</v>
      </c>
      <c r="D682">
        <v>44</v>
      </c>
      <c r="E682">
        <v>10</v>
      </c>
      <c r="F682" t="s">
        <v>701</v>
      </c>
      <c r="G682" t="s">
        <v>702</v>
      </c>
    </row>
    <row r="683" spans="1:7" x14ac:dyDescent="0.2">
      <c r="A683">
        <v>682</v>
      </c>
      <c r="B683" t="s">
        <v>12</v>
      </c>
      <c r="C683">
        <v>36</v>
      </c>
      <c r="D683">
        <v>40</v>
      </c>
      <c r="E683">
        <v>8</v>
      </c>
      <c r="F683" t="s">
        <v>701</v>
      </c>
      <c r="G683" t="s">
        <v>700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58EF0-3FD9-D043-B044-DEDD631554DE}">
  <dimension ref="A1:F683"/>
  <sheetViews>
    <sheetView workbookViewId="0">
      <selection activeCell="G27" sqref="G27"/>
    </sheetView>
  </sheetViews>
  <sheetFormatPr baseColWidth="10" defaultRowHeight="16" x14ac:dyDescent="0.2"/>
  <cols>
    <col min="2" max="2" width="12.83203125" bestFit="1" customWidth="1"/>
    <col min="3" max="3" width="13.33203125" bestFit="1" customWidth="1"/>
    <col min="4" max="4" width="15" bestFit="1" customWidth="1"/>
  </cols>
  <sheetData>
    <row r="1" spans="1:6" x14ac:dyDescent="0.2">
      <c r="B1" t="s">
        <v>699</v>
      </c>
      <c r="C1" t="s">
        <v>698</v>
      </c>
      <c r="D1" t="s">
        <v>697</v>
      </c>
      <c r="E1" t="s">
        <v>696</v>
      </c>
      <c r="F1" t="s">
        <v>695</v>
      </c>
    </row>
    <row r="2" spans="1:6" x14ac:dyDescent="0.2">
      <c r="A2">
        <v>1</v>
      </c>
      <c r="B2" t="s">
        <v>694</v>
      </c>
      <c r="C2" t="s">
        <v>6</v>
      </c>
      <c r="D2">
        <v>18445</v>
      </c>
      <c r="E2">
        <v>36</v>
      </c>
      <c r="F2">
        <v>2500</v>
      </c>
    </row>
    <row r="3" spans="1:6" x14ac:dyDescent="0.2">
      <c r="A3">
        <v>2</v>
      </c>
      <c r="B3" t="s">
        <v>693</v>
      </c>
      <c r="C3" t="s">
        <v>4</v>
      </c>
      <c r="D3">
        <v>40535</v>
      </c>
      <c r="E3">
        <v>37</v>
      </c>
      <c r="F3">
        <v>2500</v>
      </c>
    </row>
    <row r="4" spans="1:6" x14ac:dyDescent="0.2">
      <c r="A4">
        <v>3</v>
      </c>
      <c r="B4" t="s">
        <v>692</v>
      </c>
      <c r="C4" t="s">
        <v>9</v>
      </c>
      <c r="D4">
        <v>6146</v>
      </c>
      <c r="E4">
        <v>19</v>
      </c>
      <c r="F4">
        <v>1900</v>
      </c>
    </row>
    <row r="5" spans="1:6" x14ac:dyDescent="0.2">
      <c r="A5">
        <v>4</v>
      </c>
      <c r="B5" t="s">
        <v>691</v>
      </c>
      <c r="C5" t="s">
        <v>7</v>
      </c>
      <c r="D5">
        <v>9151</v>
      </c>
      <c r="E5">
        <v>23</v>
      </c>
      <c r="F5">
        <v>1900</v>
      </c>
    </row>
    <row r="6" spans="1:6" x14ac:dyDescent="0.2">
      <c r="A6">
        <v>5</v>
      </c>
      <c r="B6" t="s">
        <v>690</v>
      </c>
      <c r="C6" t="s">
        <v>4</v>
      </c>
      <c r="D6">
        <v>9308</v>
      </c>
      <c r="E6">
        <v>23</v>
      </c>
      <c r="F6">
        <v>1700</v>
      </c>
    </row>
    <row r="7" spans="1:6" x14ac:dyDescent="0.2">
      <c r="A7">
        <v>6</v>
      </c>
      <c r="B7" t="s">
        <v>689</v>
      </c>
      <c r="C7" t="s">
        <v>6</v>
      </c>
      <c r="D7">
        <v>58430</v>
      </c>
      <c r="E7">
        <v>27</v>
      </c>
      <c r="F7">
        <v>2500</v>
      </c>
    </row>
    <row r="8" spans="1:6" x14ac:dyDescent="0.2">
      <c r="A8">
        <v>7</v>
      </c>
      <c r="B8" t="s">
        <v>688</v>
      </c>
      <c r="C8" t="s">
        <v>9</v>
      </c>
      <c r="D8">
        <v>38603</v>
      </c>
      <c r="E8">
        <v>31</v>
      </c>
      <c r="F8">
        <v>2500</v>
      </c>
    </row>
    <row r="9" spans="1:6" x14ac:dyDescent="0.2">
      <c r="A9">
        <v>8</v>
      </c>
      <c r="B9" t="s">
        <v>687</v>
      </c>
      <c r="C9" t="s">
        <v>6</v>
      </c>
      <c r="D9">
        <v>9545</v>
      </c>
      <c r="E9">
        <v>19</v>
      </c>
      <c r="F9">
        <v>1700</v>
      </c>
    </row>
    <row r="10" spans="1:6" x14ac:dyDescent="0.2">
      <c r="A10">
        <v>9</v>
      </c>
      <c r="B10" t="s">
        <v>686</v>
      </c>
      <c r="C10" t="s">
        <v>9</v>
      </c>
      <c r="D10">
        <v>9357</v>
      </c>
      <c r="E10">
        <v>17</v>
      </c>
      <c r="F10">
        <v>1700</v>
      </c>
    </row>
    <row r="11" spans="1:6" x14ac:dyDescent="0.2">
      <c r="A11">
        <v>10</v>
      </c>
      <c r="B11" t="s">
        <v>685</v>
      </c>
      <c r="C11" t="s">
        <v>10</v>
      </c>
      <c r="D11">
        <v>8389</v>
      </c>
      <c r="E11">
        <v>22</v>
      </c>
      <c r="F11">
        <v>1700</v>
      </c>
    </row>
    <row r="12" spans="1:6" x14ac:dyDescent="0.2">
      <c r="A12">
        <v>11</v>
      </c>
      <c r="B12" t="s">
        <v>684</v>
      </c>
      <c r="C12" t="s">
        <v>9</v>
      </c>
      <c r="D12">
        <v>8953</v>
      </c>
      <c r="E12">
        <v>18</v>
      </c>
      <c r="F12">
        <v>1700</v>
      </c>
    </row>
    <row r="13" spans="1:6" x14ac:dyDescent="0.2">
      <c r="A13">
        <v>12</v>
      </c>
      <c r="B13" t="s">
        <v>683</v>
      </c>
      <c r="C13" t="s">
        <v>3</v>
      </c>
      <c r="D13">
        <v>7927</v>
      </c>
      <c r="E13">
        <v>20</v>
      </c>
      <c r="F13">
        <v>1900</v>
      </c>
    </row>
    <row r="14" spans="1:6" x14ac:dyDescent="0.2">
      <c r="A14">
        <v>13</v>
      </c>
      <c r="B14" t="s">
        <v>682</v>
      </c>
      <c r="C14" t="s">
        <v>6</v>
      </c>
      <c r="D14">
        <v>9755</v>
      </c>
      <c r="E14">
        <v>26</v>
      </c>
      <c r="F14">
        <v>1900</v>
      </c>
    </row>
    <row r="15" spans="1:6" x14ac:dyDescent="0.2">
      <c r="A15">
        <v>14</v>
      </c>
      <c r="B15" t="s">
        <v>681</v>
      </c>
      <c r="C15" t="s">
        <v>4</v>
      </c>
      <c r="D15">
        <v>59732</v>
      </c>
      <c r="E15">
        <v>37</v>
      </c>
      <c r="F15">
        <v>2500</v>
      </c>
    </row>
    <row r="16" spans="1:6" x14ac:dyDescent="0.2">
      <c r="A16">
        <v>15</v>
      </c>
      <c r="B16" t="s">
        <v>680</v>
      </c>
      <c r="C16" t="s">
        <v>8</v>
      </c>
      <c r="D16">
        <v>8535</v>
      </c>
      <c r="E16">
        <v>16</v>
      </c>
      <c r="F16">
        <v>1700</v>
      </c>
    </row>
    <row r="17" spans="1:6" x14ac:dyDescent="0.2">
      <c r="A17">
        <v>16</v>
      </c>
      <c r="B17" t="s">
        <v>679</v>
      </c>
      <c r="C17" t="s">
        <v>6</v>
      </c>
      <c r="D17">
        <v>44664</v>
      </c>
      <c r="E17">
        <v>30</v>
      </c>
      <c r="F17">
        <v>2500</v>
      </c>
    </row>
    <row r="18" spans="1:6" x14ac:dyDescent="0.2">
      <c r="A18">
        <v>17</v>
      </c>
      <c r="B18" t="s">
        <v>678</v>
      </c>
      <c r="C18" t="s">
        <v>5</v>
      </c>
      <c r="D18">
        <v>8255</v>
      </c>
      <c r="E18">
        <v>16</v>
      </c>
      <c r="F18">
        <v>1700</v>
      </c>
    </row>
    <row r="19" spans="1:6" x14ac:dyDescent="0.2">
      <c r="A19">
        <v>18</v>
      </c>
      <c r="B19" t="s">
        <v>677</v>
      </c>
      <c r="C19" t="s">
        <v>3</v>
      </c>
      <c r="D19">
        <v>13319</v>
      </c>
      <c r="E19">
        <v>29</v>
      </c>
      <c r="F19">
        <v>2500</v>
      </c>
    </row>
    <row r="20" spans="1:6" x14ac:dyDescent="0.2">
      <c r="A20">
        <v>19</v>
      </c>
      <c r="B20" t="s">
        <v>676</v>
      </c>
      <c r="C20" t="s">
        <v>10</v>
      </c>
      <c r="D20">
        <v>6941</v>
      </c>
      <c r="E20">
        <v>17</v>
      </c>
      <c r="F20">
        <v>1700</v>
      </c>
    </row>
    <row r="21" spans="1:6" x14ac:dyDescent="0.2">
      <c r="A21">
        <v>20</v>
      </c>
      <c r="B21" t="s">
        <v>675</v>
      </c>
      <c r="C21" t="s">
        <v>10</v>
      </c>
      <c r="D21">
        <v>9539</v>
      </c>
      <c r="E21">
        <v>16</v>
      </c>
      <c r="F21">
        <v>1700</v>
      </c>
    </row>
    <row r="22" spans="1:6" x14ac:dyDescent="0.2">
      <c r="A22">
        <v>21</v>
      </c>
      <c r="B22" t="s">
        <v>674</v>
      </c>
      <c r="C22" t="s">
        <v>8</v>
      </c>
      <c r="D22">
        <v>8342</v>
      </c>
      <c r="E22">
        <v>20</v>
      </c>
      <c r="F22">
        <v>1700</v>
      </c>
    </row>
    <row r="23" spans="1:6" x14ac:dyDescent="0.2">
      <c r="A23">
        <v>22</v>
      </c>
      <c r="B23" t="s">
        <v>673</v>
      </c>
      <c r="C23" t="s">
        <v>7</v>
      </c>
      <c r="D23">
        <v>9850</v>
      </c>
      <c r="E23">
        <v>26</v>
      </c>
      <c r="F23">
        <v>1700</v>
      </c>
    </row>
    <row r="24" spans="1:6" x14ac:dyDescent="0.2">
      <c r="A24">
        <v>23</v>
      </c>
      <c r="B24" t="s">
        <v>672</v>
      </c>
      <c r="C24" t="s">
        <v>4</v>
      </c>
      <c r="D24" t="s">
        <v>21</v>
      </c>
      <c r="E24">
        <v>39</v>
      </c>
      <c r="F24">
        <v>2500</v>
      </c>
    </row>
    <row r="25" spans="1:6" x14ac:dyDescent="0.2">
      <c r="A25">
        <v>24</v>
      </c>
      <c r="B25" t="s">
        <v>671</v>
      </c>
      <c r="C25" t="s">
        <v>4</v>
      </c>
      <c r="D25">
        <v>7566</v>
      </c>
      <c r="E25">
        <v>16</v>
      </c>
      <c r="F25">
        <v>1900</v>
      </c>
    </row>
    <row r="26" spans="1:6" x14ac:dyDescent="0.2">
      <c r="A26">
        <v>25</v>
      </c>
      <c r="B26" t="s">
        <v>670</v>
      </c>
      <c r="C26" t="s">
        <v>9</v>
      </c>
      <c r="D26">
        <v>7221</v>
      </c>
      <c r="E26">
        <v>26</v>
      </c>
      <c r="F26">
        <v>1900</v>
      </c>
    </row>
    <row r="27" spans="1:6" x14ac:dyDescent="0.2">
      <c r="A27">
        <v>26</v>
      </c>
      <c r="B27" t="s">
        <v>669</v>
      </c>
      <c r="C27" t="s">
        <v>4</v>
      </c>
      <c r="D27">
        <v>9149</v>
      </c>
      <c r="E27">
        <v>19</v>
      </c>
      <c r="F27">
        <v>1700</v>
      </c>
    </row>
    <row r="28" spans="1:6" x14ac:dyDescent="0.2">
      <c r="A28">
        <v>27</v>
      </c>
      <c r="B28" t="s">
        <v>668</v>
      </c>
      <c r="C28" t="s">
        <v>4</v>
      </c>
      <c r="D28">
        <v>7358</v>
      </c>
      <c r="E28">
        <v>20</v>
      </c>
      <c r="F28">
        <v>1700</v>
      </c>
    </row>
    <row r="29" spans="1:6" x14ac:dyDescent="0.2">
      <c r="A29">
        <v>28</v>
      </c>
      <c r="B29" t="s">
        <v>667</v>
      </c>
      <c r="C29" t="s">
        <v>9</v>
      </c>
      <c r="D29">
        <v>9657</v>
      </c>
      <c r="E29">
        <v>23</v>
      </c>
      <c r="F29">
        <v>1700</v>
      </c>
    </row>
    <row r="30" spans="1:6" x14ac:dyDescent="0.2">
      <c r="A30">
        <v>29</v>
      </c>
      <c r="B30" t="s">
        <v>666</v>
      </c>
      <c r="C30" t="s">
        <v>4</v>
      </c>
      <c r="D30">
        <v>7431</v>
      </c>
      <c r="E30">
        <v>18</v>
      </c>
      <c r="F30">
        <v>1900</v>
      </c>
    </row>
    <row r="31" spans="1:6" x14ac:dyDescent="0.2">
      <c r="A31">
        <v>30</v>
      </c>
      <c r="B31" t="s">
        <v>665</v>
      </c>
      <c r="C31" t="s">
        <v>4</v>
      </c>
      <c r="D31">
        <v>7250</v>
      </c>
      <c r="E31">
        <v>15</v>
      </c>
      <c r="F31">
        <v>1700</v>
      </c>
    </row>
    <row r="32" spans="1:6" x14ac:dyDescent="0.2">
      <c r="A32">
        <v>31</v>
      </c>
      <c r="B32" t="s">
        <v>664</v>
      </c>
      <c r="C32" t="s">
        <v>6</v>
      </c>
      <c r="D32">
        <v>8035</v>
      </c>
      <c r="E32">
        <v>32</v>
      </c>
      <c r="F32">
        <v>2500</v>
      </c>
    </row>
    <row r="33" spans="1:6" x14ac:dyDescent="0.2">
      <c r="A33">
        <v>32</v>
      </c>
      <c r="B33" t="s">
        <v>663</v>
      </c>
      <c r="C33" t="s">
        <v>6</v>
      </c>
      <c r="D33">
        <v>50859</v>
      </c>
      <c r="E33">
        <v>25</v>
      </c>
      <c r="F33">
        <v>2500</v>
      </c>
    </row>
    <row r="34" spans="1:6" x14ac:dyDescent="0.2">
      <c r="A34">
        <v>33</v>
      </c>
      <c r="B34" t="s">
        <v>662</v>
      </c>
      <c r="C34" t="s">
        <v>6</v>
      </c>
      <c r="D34">
        <v>9122</v>
      </c>
      <c r="E34">
        <v>26</v>
      </c>
      <c r="F34">
        <v>1700</v>
      </c>
    </row>
    <row r="35" spans="1:6" x14ac:dyDescent="0.2">
      <c r="A35">
        <v>34</v>
      </c>
      <c r="B35" t="s">
        <v>661</v>
      </c>
      <c r="C35" t="s">
        <v>4</v>
      </c>
      <c r="D35" t="s">
        <v>21</v>
      </c>
      <c r="E35">
        <v>15</v>
      </c>
      <c r="F35">
        <v>1700</v>
      </c>
    </row>
    <row r="36" spans="1:6" x14ac:dyDescent="0.2">
      <c r="A36">
        <v>35</v>
      </c>
      <c r="B36" t="s">
        <v>660</v>
      </c>
      <c r="C36" t="s">
        <v>6</v>
      </c>
      <c r="D36">
        <v>9741</v>
      </c>
      <c r="E36">
        <v>25</v>
      </c>
      <c r="F36">
        <v>1900</v>
      </c>
    </row>
    <row r="37" spans="1:6" x14ac:dyDescent="0.2">
      <c r="A37">
        <v>36</v>
      </c>
      <c r="B37" t="s">
        <v>659</v>
      </c>
      <c r="C37" t="s">
        <v>6</v>
      </c>
      <c r="D37">
        <v>6948</v>
      </c>
      <c r="E37">
        <v>25</v>
      </c>
      <c r="F37">
        <v>1700</v>
      </c>
    </row>
    <row r="38" spans="1:6" x14ac:dyDescent="0.2">
      <c r="A38">
        <v>37</v>
      </c>
      <c r="B38" t="s">
        <v>658</v>
      </c>
      <c r="C38" t="s">
        <v>9</v>
      </c>
      <c r="D38">
        <v>25397</v>
      </c>
      <c r="E38">
        <v>33</v>
      </c>
      <c r="F38">
        <v>2700</v>
      </c>
    </row>
    <row r="39" spans="1:6" x14ac:dyDescent="0.2">
      <c r="A39">
        <v>38</v>
      </c>
      <c r="B39" t="s">
        <v>657</v>
      </c>
      <c r="C39" t="s">
        <v>9</v>
      </c>
      <c r="D39">
        <v>9534</v>
      </c>
      <c r="E39">
        <v>16</v>
      </c>
      <c r="F39">
        <v>1900</v>
      </c>
    </row>
    <row r="40" spans="1:6" x14ac:dyDescent="0.2">
      <c r="A40">
        <v>39</v>
      </c>
      <c r="B40" t="s">
        <v>656</v>
      </c>
      <c r="C40" t="s">
        <v>9</v>
      </c>
      <c r="D40">
        <v>9912</v>
      </c>
      <c r="E40">
        <v>24</v>
      </c>
      <c r="F40">
        <v>1700</v>
      </c>
    </row>
    <row r="41" spans="1:6" x14ac:dyDescent="0.2">
      <c r="A41">
        <v>40</v>
      </c>
      <c r="B41" t="s">
        <v>655</v>
      </c>
      <c r="C41" t="s">
        <v>6</v>
      </c>
      <c r="D41">
        <v>7869</v>
      </c>
      <c r="E41">
        <v>16</v>
      </c>
      <c r="F41">
        <v>1700</v>
      </c>
    </row>
    <row r="42" spans="1:6" x14ac:dyDescent="0.2">
      <c r="A42">
        <v>41</v>
      </c>
      <c r="B42" t="s">
        <v>654</v>
      </c>
      <c r="C42" t="s">
        <v>4</v>
      </c>
      <c r="D42">
        <v>9097</v>
      </c>
      <c r="E42">
        <v>19</v>
      </c>
      <c r="F42">
        <v>1700</v>
      </c>
    </row>
    <row r="43" spans="1:6" x14ac:dyDescent="0.2">
      <c r="A43">
        <v>42</v>
      </c>
      <c r="B43" t="s">
        <v>653</v>
      </c>
      <c r="C43" t="s">
        <v>7</v>
      </c>
      <c r="D43">
        <v>22370</v>
      </c>
      <c r="E43">
        <v>30</v>
      </c>
      <c r="F43">
        <v>2500</v>
      </c>
    </row>
    <row r="44" spans="1:6" x14ac:dyDescent="0.2">
      <c r="A44">
        <v>43</v>
      </c>
      <c r="B44" t="s">
        <v>652</v>
      </c>
      <c r="C44" t="s">
        <v>4</v>
      </c>
      <c r="D44">
        <v>8363</v>
      </c>
      <c r="E44">
        <v>20</v>
      </c>
      <c r="F44">
        <v>1900</v>
      </c>
    </row>
    <row r="45" spans="1:6" x14ac:dyDescent="0.2">
      <c r="A45">
        <v>44</v>
      </c>
      <c r="B45" t="s">
        <v>651</v>
      </c>
      <c r="C45" t="s">
        <v>9</v>
      </c>
      <c r="D45">
        <v>9242</v>
      </c>
      <c r="E45">
        <v>25</v>
      </c>
      <c r="F45">
        <v>1700</v>
      </c>
    </row>
    <row r="46" spans="1:6" x14ac:dyDescent="0.2">
      <c r="A46">
        <v>45</v>
      </c>
      <c r="B46" t="s">
        <v>650</v>
      </c>
      <c r="C46" t="s">
        <v>3</v>
      </c>
      <c r="D46">
        <v>9026</v>
      </c>
      <c r="E46">
        <v>19</v>
      </c>
      <c r="F46">
        <v>1700</v>
      </c>
    </row>
    <row r="47" spans="1:6" x14ac:dyDescent="0.2">
      <c r="A47">
        <v>46</v>
      </c>
      <c r="B47" t="s">
        <v>649</v>
      </c>
      <c r="C47" t="s">
        <v>4</v>
      </c>
      <c r="D47">
        <v>9015</v>
      </c>
      <c r="E47">
        <v>26</v>
      </c>
      <c r="F47">
        <v>1700</v>
      </c>
    </row>
    <row r="48" spans="1:6" x14ac:dyDescent="0.2">
      <c r="A48">
        <v>47</v>
      </c>
      <c r="B48" t="s">
        <v>648</v>
      </c>
      <c r="C48" t="s">
        <v>10</v>
      </c>
      <c r="D48">
        <v>9319</v>
      </c>
      <c r="E48">
        <v>25</v>
      </c>
      <c r="F48">
        <v>1700</v>
      </c>
    </row>
    <row r="49" spans="1:6" x14ac:dyDescent="0.2">
      <c r="A49">
        <v>48</v>
      </c>
      <c r="B49" t="s">
        <v>647</v>
      </c>
      <c r="C49" t="s">
        <v>4</v>
      </c>
      <c r="D49">
        <v>8105</v>
      </c>
      <c r="E49">
        <v>22</v>
      </c>
      <c r="F49">
        <v>1900</v>
      </c>
    </row>
    <row r="50" spans="1:6" x14ac:dyDescent="0.2">
      <c r="A50">
        <v>49</v>
      </c>
      <c r="B50" t="s">
        <v>646</v>
      </c>
      <c r="C50" t="s">
        <v>6</v>
      </c>
      <c r="D50">
        <v>7875</v>
      </c>
      <c r="E50">
        <v>15</v>
      </c>
      <c r="F50">
        <v>1900</v>
      </c>
    </row>
    <row r="51" spans="1:6" x14ac:dyDescent="0.2">
      <c r="A51">
        <v>50</v>
      </c>
      <c r="B51" t="s">
        <v>645</v>
      </c>
      <c r="C51" t="s">
        <v>4</v>
      </c>
      <c r="D51">
        <v>7735</v>
      </c>
      <c r="E51">
        <v>26</v>
      </c>
      <c r="F51">
        <v>1700</v>
      </c>
    </row>
    <row r="52" spans="1:6" x14ac:dyDescent="0.2">
      <c r="A52">
        <v>51</v>
      </c>
      <c r="B52" t="s">
        <v>644</v>
      </c>
      <c r="C52" t="s">
        <v>9</v>
      </c>
      <c r="D52">
        <v>58191</v>
      </c>
      <c r="E52">
        <v>36</v>
      </c>
      <c r="F52">
        <v>2700</v>
      </c>
    </row>
    <row r="53" spans="1:6" x14ac:dyDescent="0.2">
      <c r="A53">
        <v>52</v>
      </c>
      <c r="B53" t="s">
        <v>643</v>
      </c>
      <c r="C53" t="s">
        <v>7</v>
      </c>
      <c r="D53">
        <v>8999</v>
      </c>
      <c r="E53">
        <v>20</v>
      </c>
      <c r="F53">
        <v>1900</v>
      </c>
    </row>
    <row r="54" spans="1:6" x14ac:dyDescent="0.2">
      <c r="A54">
        <v>53</v>
      </c>
      <c r="B54" t="s">
        <v>642</v>
      </c>
      <c r="C54" t="s">
        <v>4</v>
      </c>
      <c r="D54">
        <v>8194</v>
      </c>
      <c r="E54">
        <v>16</v>
      </c>
      <c r="F54">
        <v>1700</v>
      </c>
    </row>
    <row r="55" spans="1:6" x14ac:dyDescent="0.2">
      <c r="A55">
        <v>54</v>
      </c>
      <c r="B55" t="s">
        <v>641</v>
      </c>
      <c r="C55" t="s">
        <v>10</v>
      </c>
      <c r="D55">
        <v>17557</v>
      </c>
      <c r="E55">
        <v>36</v>
      </c>
      <c r="F55">
        <v>2500</v>
      </c>
    </row>
    <row r="56" spans="1:6" x14ac:dyDescent="0.2">
      <c r="A56">
        <v>55</v>
      </c>
      <c r="B56" t="s">
        <v>640</v>
      </c>
      <c r="C56" t="s">
        <v>6</v>
      </c>
      <c r="D56">
        <v>7694</v>
      </c>
      <c r="E56">
        <v>24</v>
      </c>
      <c r="F56">
        <v>1700</v>
      </c>
    </row>
    <row r="57" spans="1:6" x14ac:dyDescent="0.2">
      <c r="A57">
        <v>56</v>
      </c>
      <c r="B57" t="s">
        <v>639</v>
      </c>
      <c r="C57" t="s">
        <v>9</v>
      </c>
      <c r="D57">
        <v>8796</v>
      </c>
      <c r="E57">
        <v>21</v>
      </c>
      <c r="F57">
        <v>1700</v>
      </c>
    </row>
    <row r="58" spans="1:6" x14ac:dyDescent="0.2">
      <c r="A58">
        <v>57</v>
      </c>
      <c r="B58" t="s">
        <v>638</v>
      </c>
      <c r="C58" t="s">
        <v>10</v>
      </c>
      <c r="D58">
        <v>7849</v>
      </c>
      <c r="E58">
        <v>18</v>
      </c>
      <c r="F58">
        <v>1700</v>
      </c>
    </row>
    <row r="59" spans="1:6" x14ac:dyDescent="0.2">
      <c r="A59">
        <v>58</v>
      </c>
      <c r="B59" t="s">
        <v>637</v>
      </c>
      <c r="C59" t="s">
        <v>4</v>
      </c>
      <c r="D59">
        <v>8839</v>
      </c>
      <c r="E59">
        <v>17</v>
      </c>
      <c r="F59">
        <v>1700</v>
      </c>
    </row>
    <row r="60" spans="1:6" x14ac:dyDescent="0.2">
      <c r="A60">
        <v>59</v>
      </c>
      <c r="B60" t="s">
        <v>636</v>
      </c>
      <c r="C60" t="s">
        <v>4</v>
      </c>
      <c r="D60">
        <v>6624</v>
      </c>
      <c r="E60">
        <v>23</v>
      </c>
      <c r="F60">
        <v>1700</v>
      </c>
    </row>
    <row r="61" spans="1:6" x14ac:dyDescent="0.2">
      <c r="A61">
        <v>60</v>
      </c>
      <c r="B61" t="s">
        <v>635</v>
      </c>
      <c r="C61" t="s">
        <v>4</v>
      </c>
      <c r="D61" t="s">
        <v>21</v>
      </c>
      <c r="E61">
        <v>25</v>
      </c>
      <c r="F61">
        <v>1700</v>
      </c>
    </row>
    <row r="62" spans="1:6" x14ac:dyDescent="0.2">
      <c r="A62">
        <v>61</v>
      </c>
      <c r="B62" t="s">
        <v>634</v>
      </c>
      <c r="C62" t="s">
        <v>9</v>
      </c>
      <c r="D62">
        <v>8337</v>
      </c>
      <c r="E62">
        <v>23</v>
      </c>
      <c r="F62">
        <v>1700</v>
      </c>
    </row>
    <row r="63" spans="1:6" x14ac:dyDescent="0.2">
      <c r="A63">
        <v>62</v>
      </c>
      <c r="B63" t="s">
        <v>633</v>
      </c>
      <c r="C63" t="s">
        <v>9</v>
      </c>
      <c r="D63">
        <v>7851</v>
      </c>
      <c r="E63">
        <v>25</v>
      </c>
      <c r="F63">
        <v>1900</v>
      </c>
    </row>
    <row r="64" spans="1:6" x14ac:dyDescent="0.2">
      <c r="A64">
        <v>63</v>
      </c>
      <c r="B64" t="s">
        <v>632</v>
      </c>
      <c r="C64" t="s">
        <v>7</v>
      </c>
      <c r="D64">
        <v>8173</v>
      </c>
      <c r="E64">
        <v>23</v>
      </c>
      <c r="F64">
        <v>1900</v>
      </c>
    </row>
    <row r="65" spans="1:6" x14ac:dyDescent="0.2">
      <c r="A65">
        <v>64</v>
      </c>
      <c r="B65" t="s">
        <v>631</v>
      </c>
      <c r="C65" t="s">
        <v>6</v>
      </c>
      <c r="D65">
        <v>51428</v>
      </c>
      <c r="E65">
        <v>35</v>
      </c>
      <c r="F65">
        <v>2500</v>
      </c>
    </row>
    <row r="66" spans="1:6" x14ac:dyDescent="0.2">
      <c r="A66">
        <v>65</v>
      </c>
      <c r="B66" t="s">
        <v>630</v>
      </c>
      <c r="C66" t="s">
        <v>6</v>
      </c>
      <c r="D66">
        <v>9593</v>
      </c>
      <c r="E66">
        <v>23</v>
      </c>
      <c r="F66">
        <v>1700</v>
      </c>
    </row>
    <row r="67" spans="1:6" x14ac:dyDescent="0.2">
      <c r="A67">
        <v>66</v>
      </c>
      <c r="B67" t="s">
        <v>629</v>
      </c>
      <c r="C67" t="s">
        <v>8</v>
      </c>
      <c r="D67">
        <v>7207</v>
      </c>
      <c r="E67">
        <v>21</v>
      </c>
      <c r="F67">
        <v>1700</v>
      </c>
    </row>
    <row r="68" spans="1:6" x14ac:dyDescent="0.2">
      <c r="A68">
        <v>67</v>
      </c>
      <c r="B68" t="s">
        <v>628</v>
      </c>
      <c r="C68" t="s">
        <v>4</v>
      </c>
      <c r="D68">
        <v>28776</v>
      </c>
      <c r="E68">
        <v>28</v>
      </c>
      <c r="F68">
        <v>2700</v>
      </c>
    </row>
    <row r="69" spans="1:6" x14ac:dyDescent="0.2">
      <c r="A69">
        <v>68</v>
      </c>
      <c r="B69" t="s">
        <v>627</v>
      </c>
      <c r="C69" t="s">
        <v>4</v>
      </c>
      <c r="D69">
        <v>8926</v>
      </c>
      <c r="E69">
        <v>15</v>
      </c>
      <c r="F69">
        <v>1900</v>
      </c>
    </row>
    <row r="70" spans="1:6" x14ac:dyDescent="0.2">
      <c r="A70">
        <v>69</v>
      </c>
      <c r="B70" t="s">
        <v>626</v>
      </c>
      <c r="C70" t="s">
        <v>9</v>
      </c>
      <c r="D70">
        <v>7378</v>
      </c>
      <c r="E70">
        <v>15</v>
      </c>
      <c r="F70">
        <v>1900</v>
      </c>
    </row>
    <row r="71" spans="1:6" x14ac:dyDescent="0.2">
      <c r="A71">
        <v>70</v>
      </c>
      <c r="B71" t="s">
        <v>625</v>
      </c>
      <c r="C71" t="s">
        <v>10</v>
      </c>
      <c r="D71">
        <v>6819</v>
      </c>
      <c r="E71">
        <v>26</v>
      </c>
      <c r="F71">
        <v>1900</v>
      </c>
    </row>
    <row r="72" spans="1:6" x14ac:dyDescent="0.2">
      <c r="A72">
        <v>71</v>
      </c>
      <c r="B72" t="s">
        <v>624</v>
      </c>
      <c r="C72" t="s">
        <v>4</v>
      </c>
      <c r="D72">
        <v>6334</v>
      </c>
      <c r="E72">
        <v>22</v>
      </c>
      <c r="F72">
        <v>1700</v>
      </c>
    </row>
    <row r="73" spans="1:6" x14ac:dyDescent="0.2">
      <c r="A73">
        <v>72</v>
      </c>
      <c r="B73" t="s">
        <v>623</v>
      </c>
      <c r="C73" t="s">
        <v>9</v>
      </c>
      <c r="D73">
        <v>7261</v>
      </c>
      <c r="E73">
        <v>23</v>
      </c>
      <c r="F73">
        <v>1700</v>
      </c>
    </row>
    <row r="74" spans="1:6" x14ac:dyDescent="0.2">
      <c r="A74">
        <v>73</v>
      </c>
      <c r="B74" t="s">
        <v>622</v>
      </c>
      <c r="C74" t="s">
        <v>5</v>
      </c>
      <c r="D74">
        <v>9124</v>
      </c>
      <c r="E74">
        <v>24</v>
      </c>
      <c r="F74">
        <v>1700</v>
      </c>
    </row>
    <row r="75" spans="1:6" x14ac:dyDescent="0.2">
      <c r="A75">
        <v>74</v>
      </c>
      <c r="B75" t="s">
        <v>621</v>
      </c>
      <c r="C75" t="s">
        <v>4</v>
      </c>
      <c r="D75">
        <v>8844</v>
      </c>
      <c r="E75">
        <v>17</v>
      </c>
      <c r="F75">
        <v>1900</v>
      </c>
    </row>
    <row r="76" spans="1:6" x14ac:dyDescent="0.2">
      <c r="A76">
        <v>75</v>
      </c>
      <c r="B76" t="s">
        <v>620</v>
      </c>
      <c r="C76" t="s">
        <v>9</v>
      </c>
      <c r="D76">
        <v>8425</v>
      </c>
      <c r="E76">
        <v>26</v>
      </c>
      <c r="F76">
        <v>1700</v>
      </c>
    </row>
    <row r="77" spans="1:6" x14ac:dyDescent="0.2">
      <c r="A77">
        <v>76</v>
      </c>
      <c r="B77" t="s">
        <v>619</v>
      </c>
      <c r="C77" t="s">
        <v>10</v>
      </c>
      <c r="D77">
        <v>9545</v>
      </c>
      <c r="E77">
        <v>26</v>
      </c>
      <c r="F77">
        <v>1900</v>
      </c>
    </row>
    <row r="78" spans="1:6" x14ac:dyDescent="0.2">
      <c r="A78">
        <v>77</v>
      </c>
      <c r="B78" t="s">
        <v>618</v>
      </c>
      <c r="C78" t="s">
        <v>6</v>
      </c>
      <c r="D78">
        <v>8547</v>
      </c>
      <c r="E78">
        <v>15</v>
      </c>
      <c r="F78">
        <v>1700</v>
      </c>
    </row>
    <row r="79" spans="1:6" x14ac:dyDescent="0.2">
      <c r="A79">
        <v>78</v>
      </c>
      <c r="B79" t="s">
        <v>617</v>
      </c>
      <c r="C79" t="s">
        <v>9</v>
      </c>
      <c r="D79">
        <v>8902</v>
      </c>
      <c r="E79">
        <v>21</v>
      </c>
      <c r="F79">
        <v>1700</v>
      </c>
    </row>
    <row r="80" spans="1:6" x14ac:dyDescent="0.2">
      <c r="A80">
        <v>79</v>
      </c>
      <c r="B80" t="s">
        <v>616</v>
      </c>
      <c r="C80" t="s">
        <v>6</v>
      </c>
      <c r="D80">
        <v>7036</v>
      </c>
      <c r="E80">
        <v>18</v>
      </c>
      <c r="F80">
        <v>1900</v>
      </c>
    </row>
    <row r="81" spans="1:6" x14ac:dyDescent="0.2">
      <c r="A81">
        <v>80</v>
      </c>
      <c r="B81" t="s">
        <v>615</v>
      </c>
      <c r="C81" t="s">
        <v>6</v>
      </c>
      <c r="D81">
        <v>6901</v>
      </c>
      <c r="E81">
        <v>24</v>
      </c>
      <c r="F81">
        <v>1700</v>
      </c>
    </row>
    <row r="82" spans="1:6" x14ac:dyDescent="0.2">
      <c r="A82">
        <v>81</v>
      </c>
      <c r="B82" t="s">
        <v>614</v>
      </c>
      <c r="C82" t="s">
        <v>6</v>
      </c>
      <c r="D82">
        <v>7199</v>
      </c>
      <c r="E82">
        <v>22</v>
      </c>
      <c r="F82">
        <v>1700</v>
      </c>
    </row>
    <row r="83" spans="1:6" x14ac:dyDescent="0.2">
      <c r="A83">
        <v>82</v>
      </c>
      <c r="B83" t="s">
        <v>613</v>
      </c>
      <c r="C83" t="s">
        <v>4</v>
      </c>
      <c r="D83">
        <v>7965</v>
      </c>
      <c r="E83">
        <v>22</v>
      </c>
      <c r="F83">
        <v>1700</v>
      </c>
    </row>
    <row r="84" spans="1:6" x14ac:dyDescent="0.2">
      <c r="A84">
        <v>83</v>
      </c>
      <c r="B84" t="s">
        <v>612</v>
      </c>
      <c r="C84" t="s">
        <v>9</v>
      </c>
      <c r="D84">
        <v>6901</v>
      </c>
      <c r="E84">
        <v>16</v>
      </c>
      <c r="F84">
        <v>1700</v>
      </c>
    </row>
    <row r="85" spans="1:6" x14ac:dyDescent="0.2">
      <c r="A85">
        <v>84</v>
      </c>
      <c r="B85" t="s">
        <v>611</v>
      </c>
      <c r="C85" t="s">
        <v>4</v>
      </c>
      <c r="D85">
        <v>6125</v>
      </c>
      <c r="E85">
        <v>22</v>
      </c>
      <c r="F85">
        <v>1900</v>
      </c>
    </row>
    <row r="86" spans="1:6" x14ac:dyDescent="0.2">
      <c r="A86">
        <v>85</v>
      </c>
      <c r="B86" t="s">
        <v>610</v>
      </c>
      <c r="C86" t="s">
        <v>4</v>
      </c>
      <c r="D86">
        <v>9655</v>
      </c>
      <c r="E86">
        <v>15</v>
      </c>
      <c r="F86">
        <v>1700</v>
      </c>
    </row>
    <row r="87" spans="1:6" x14ac:dyDescent="0.2">
      <c r="A87">
        <v>86</v>
      </c>
      <c r="B87" t="s">
        <v>609</v>
      </c>
      <c r="C87" t="s">
        <v>6</v>
      </c>
      <c r="D87" t="s">
        <v>21</v>
      </c>
      <c r="E87">
        <v>24</v>
      </c>
      <c r="F87">
        <v>1700</v>
      </c>
    </row>
    <row r="88" spans="1:6" x14ac:dyDescent="0.2">
      <c r="A88">
        <v>87</v>
      </c>
      <c r="B88" t="s">
        <v>608</v>
      </c>
      <c r="C88" t="s">
        <v>6</v>
      </c>
      <c r="D88">
        <v>8638</v>
      </c>
      <c r="E88">
        <v>18</v>
      </c>
      <c r="F88">
        <v>1900</v>
      </c>
    </row>
    <row r="89" spans="1:6" x14ac:dyDescent="0.2">
      <c r="A89">
        <v>88</v>
      </c>
      <c r="B89" t="s">
        <v>607</v>
      </c>
      <c r="C89" t="s">
        <v>9</v>
      </c>
      <c r="D89">
        <v>7789</v>
      </c>
      <c r="E89">
        <v>19</v>
      </c>
      <c r="F89">
        <v>1700</v>
      </c>
    </row>
    <row r="90" spans="1:6" x14ac:dyDescent="0.2">
      <c r="A90">
        <v>89</v>
      </c>
      <c r="B90" t="s">
        <v>606</v>
      </c>
      <c r="C90" t="s">
        <v>9</v>
      </c>
      <c r="D90">
        <v>9872</v>
      </c>
      <c r="E90">
        <v>26</v>
      </c>
      <c r="F90">
        <v>1700</v>
      </c>
    </row>
    <row r="91" spans="1:6" x14ac:dyDescent="0.2">
      <c r="A91">
        <v>90</v>
      </c>
      <c r="B91" t="s">
        <v>605</v>
      </c>
      <c r="C91" t="s">
        <v>6</v>
      </c>
      <c r="D91" t="s">
        <v>21</v>
      </c>
      <c r="E91">
        <v>27</v>
      </c>
      <c r="F91">
        <v>2500</v>
      </c>
    </row>
    <row r="92" spans="1:6" x14ac:dyDescent="0.2">
      <c r="A92">
        <v>91</v>
      </c>
      <c r="B92" t="s">
        <v>604</v>
      </c>
      <c r="C92" t="s">
        <v>9</v>
      </c>
      <c r="D92" t="s">
        <v>21</v>
      </c>
      <c r="E92">
        <v>15</v>
      </c>
      <c r="F92">
        <v>1900</v>
      </c>
    </row>
    <row r="93" spans="1:6" x14ac:dyDescent="0.2">
      <c r="A93">
        <v>92</v>
      </c>
      <c r="B93" t="s">
        <v>603</v>
      </c>
      <c r="C93" t="s">
        <v>4</v>
      </c>
      <c r="D93">
        <v>8372</v>
      </c>
      <c r="E93">
        <v>26</v>
      </c>
      <c r="F93">
        <v>1900</v>
      </c>
    </row>
    <row r="94" spans="1:6" x14ac:dyDescent="0.2">
      <c r="A94">
        <v>93</v>
      </c>
      <c r="B94" t="s">
        <v>602</v>
      </c>
      <c r="C94" t="s">
        <v>9</v>
      </c>
      <c r="D94">
        <v>6867</v>
      </c>
      <c r="E94">
        <v>20</v>
      </c>
      <c r="F94">
        <v>1700</v>
      </c>
    </row>
    <row r="95" spans="1:6" x14ac:dyDescent="0.2">
      <c r="A95">
        <v>94</v>
      </c>
      <c r="B95" t="s">
        <v>601</v>
      </c>
      <c r="C95" t="s">
        <v>6</v>
      </c>
      <c r="D95">
        <v>8007</v>
      </c>
      <c r="E95">
        <v>25</v>
      </c>
      <c r="F95">
        <v>1900</v>
      </c>
    </row>
    <row r="96" spans="1:6" x14ac:dyDescent="0.2">
      <c r="A96">
        <v>95</v>
      </c>
      <c r="B96" t="s">
        <v>600</v>
      </c>
      <c r="C96" t="s">
        <v>9</v>
      </c>
      <c r="D96">
        <v>8862</v>
      </c>
      <c r="E96">
        <v>20</v>
      </c>
      <c r="F96">
        <v>1700</v>
      </c>
    </row>
    <row r="97" spans="1:6" x14ac:dyDescent="0.2">
      <c r="A97">
        <v>96</v>
      </c>
      <c r="B97" t="s">
        <v>599</v>
      </c>
      <c r="C97" t="s">
        <v>4</v>
      </c>
      <c r="D97">
        <v>9265</v>
      </c>
      <c r="E97">
        <v>16</v>
      </c>
      <c r="F97">
        <v>1700</v>
      </c>
    </row>
    <row r="98" spans="1:6" x14ac:dyDescent="0.2">
      <c r="A98">
        <v>97</v>
      </c>
      <c r="B98" t="s">
        <v>598</v>
      </c>
      <c r="C98" t="s">
        <v>4</v>
      </c>
      <c r="D98">
        <v>6680</v>
      </c>
      <c r="E98">
        <v>16</v>
      </c>
      <c r="F98">
        <v>1700</v>
      </c>
    </row>
    <row r="99" spans="1:6" x14ac:dyDescent="0.2">
      <c r="A99">
        <v>98</v>
      </c>
      <c r="B99" t="s">
        <v>597</v>
      </c>
      <c r="C99" t="s">
        <v>9</v>
      </c>
      <c r="D99">
        <v>7577</v>
      </c>
      <c r="E99">
        <v>25</v>
      </c>
      <c r="F99">
        <v>1900</v>
      </c>
    </row>
    <row r="100" spans="1:6" x14ac:dyDescent="0.2">
      <c r="A100">
        <v>99</v>
      </c>
      <c r="B100" t="s">
        <v>596</v>
      </c>
      <c r="C100" t="s">
        <v>4</v>
      </c>
      <c r="D100">
        <v>8944</v>
      </c>
      <c r="E100">
        <v>16</v>
      </c>
      <c r="F100">
        <v>1900</v>
      </c>
    </row>
    <row r="101" spans="1:6" x14ac:dyDescent="0.2">
      <c r="A101">
        <v>100</v>
      </c>
      <c r="B101" t="s">
        <v>595</v>
      </c>
      <c r="C101" t="s">
        <v>7</v>
      </c>
      <c r="D101">
        <v>8372</v>
      </c>
      <c r="E101">
        <v>15</v>
      </c>
      <c r="F101">
        <v>1700</v>
      </c>
    </row>
    <row r="102" spans="1:6" x14ac:dyDescent="0.2">
      <c r="A102">
        <v>101</v>
      </c>
      <c r="B102" t="s">
        <v>594</v>
      </c>
      <c r="C102" t="s">
        <v>6</v>
      </c>
      <c r="D102">
        <v>9178</v>
      </c>
      <c r="E102">
        <v>20</v>
      </c>
      <c r="F102">
        <v>1900</v>
      </c>
    </row>
    <row r="103" spans="1:6" x14ac:dyDescent="0.2">
      <c r="A103">
        <v>102</v>
      </c>
      <c r="B103" t="s">
        <v>593</v>
      </c>
      <c r="C103" t="s">
        <v>4</v>
      </c>
      <c r="D103">
        <v>24760</v>
      </c>
      <c r="E103">
        <v>38</v>
      </c>
      <c r="F103">
        <v>2700</v>
      </c>
    </row>
    <row r="104" spans="1:6" x14ac:dyDescent="0.2">
      <c r="A104">
        <v>103</v>
      </c>
      <c r="B104" t="s">
        <v>592</v>
      </c>
      <c r="C104" t="s">
        <v>6</v>
      </c>
      <c r="D104">
        <v>8641</v>
      </c>
      <c r="E104">
        <v>20</v>
      </c>
      <c r="F104">
        <v>1900</v>
      </c>
    </row>
    <row r="105" spans="1:6" x14ac:dyDescent="0.2">
      <c r="A105">
        <v>104</v>
      </c>
      <c r="B105" t="s">
        <v>591</v>
      </c>
      <c r="C105" t="s">
        <v>9</v>
      </c>
      <c r="D105">
        <v>46575</v>
      </c>
      <c r="E105">
        <v>28</v>
      </c>
      <c r="F105">
        <v>2700</v>
      </c>
    </row>
    <row r="106" spans="1:6" x14ac:dyDescent="0.2">
      <c r="A106">
        <v>105</v>
      </c>
      <c r="B106" t="s">
        <v>590</v>
      </c>
      <c r="C106" t="s">
        <v>10</v>
      </c>
      <c r="D106">
        <v>6158</v>
      </c>
      <c r="E106">
        <v>17</v>
      </c>
      <c r="F106">
        <v>1900</v>
      </c>
    </row>
    <row r="107" spans="1:6" x14ac:dyDescent="0.2">
      <c r="A107">
        <v>106</v>
      </c>
      <c r="B107" t="s">
        <v>589</v>
      </c>
      <c r="C107" t="s">
        <v>6</v>
      </c>
      <c r="D107">
        <v>6445</v>
      </c>
      <c r="E107">
        <v>17</v>
      </c>
      <c r="F107">
        <v>1700</v>
      </c>
    </row>
    <row r="108" spans="1:6" x14ac:dyDescent="0.2">
      <c r="A108">
        <v>107</v>
      </c>
      <c r="B108" t="s">
        <v>588</v>
      </c>
      <c r="C108" t="s">
        <v>4</v>
      </c>
      <c r="D108">
        <v>17117</v>
      </c>
      <c r="E108">
        <v>26</v>
      </c>
      <c r="F108">
        <v>2700</v>
      </c>
    </row>
    <row r="109" spans="1:6" x14ac:dyDescent="0.2">
      <c r="A109">
        <v>108</v>
      </c>
      <c r="B109" t="s">
        <v>587</v>
      </c>
      <c r="C109" t="s">
        <v>9</v>
      </c>
      <c r="D109">
        <v>6274</v>
      </c>
      <c r="E109">
        <v>16</v>
      </c>
      <c r="F109">
        <v>1700</v>
      </c>
    </row>
    <row r="110" spans="1:6" x14ac:dyDescent="0.2">
      <c r="A110">
        <v>109</v>
      </c>
      <c r="B110" t="s">
        <v>586</v>
      </c>
      <c r="C110" t="s">
        <v>9</v>
      </c>
      <c r="D110">
        <v>7408</v>
      </c>
      <c r="E110">
        <v>22</v>
      </c>
      <c r="F110">
        <v>1700</v>
      </c>
    </row>
    <row r="111" spans="1:6" x14ac:dyDescent="0.2">
      <c r="A111">
        <v>110</v>
      </c>
      <c r="B111" t="s">
        <v>585</v>
      </c>
      <c r="C111" t="s">
        <v>10</v>
      </c>
      <c r="D111">
        <v>8344</v>
      </c>
      <c r="E111">
        <v>21</v>
      </c>
      <c r="F111">
        <v>1700</v>
      </c>
    </row>
    <row r="112" spans="1:6" x14ac:dyDescent="0.2">
      <c r="A112">
        <v>111</v>
      </c>
      <c r="B112" t="s">
        <v>584</v>
      </c>
      <c r="C112" t="s">
        <v>9</v>
      </c>
      <c r="D112">
        <v>7020</v>
      </c>
      <c r="E112">
        <v>19</v>
      </c>
      <c r="F112">
        <v>1700</v>
      </c>
    </row>
    <row r="113" spans="1:6" x14ac:dyDescent="0.2">
      <c r="A113">
        <v>112</v>
      </c>
      <c r="B113" t="s">
        <v>583</v>
      </c>
      <c r="C113" t="s">
        <v>6</v>
      </c>
      <c r="D113">
        <v>6204</v>
      </c>
      <c r="E113">
        <v>17</v>
      </c>
      <c r="F113">
        <v>1700</v>
      </c>
    </row>
    <row r="114" spans="1:6" x14ac:dyDescent="0.2">
      <c r="A114">
        <v>113</v>
      </c>
      <c r="B114" t="s">
        <v>582</v>
      </c>
      <c r="C114" t="s">
        <v>6</v>
      </c>
      <c r="D114">
        <v>9700</v>
      </c>
      <c r="E114">
        <v>23</v>
      </c>
      <c r="F114">
        <v>1700</v>
      </c>
    </row>
    <row r="115" spans="1:6" x14ac:dyDescent="0.2">
      <c r="A115">
        <v>114</v>
      </c>
      <c r="B115" t="s">
        <v>581</v>
      </c>
      <c r="C115" t="s">
        <v>10</v>
      </c>
      <c r="D115">
        <v>8055</v>
      </c>
      <c r="E115">
        <v>15</v>
      </c>
      <c r="F115">
        <v>1700</v>
      </c>
    </row>
    <row r="116" spans="1:6" x14ac:dyDescent="0.2">
      <c r="A116">
        <v>115</v>
      </c>
      <c r="B116" t="s">
        <v>580</v>
      </c>
      <c r="C116" t="s">
        <v>4</v>
      </c>
      <c r="D116">
        <v>6700</v>
      </c>
      <c r="E116">
        <v>21</v>
      </c>
      <c r="F116">
        <v>1700</v>
      </c>
    </row>
    <row r="117" spans="1:6" x14ac:dyDescent="0.2">
      <c r="A117">
        <v>116</v>
      </c>
      <c r="B117" t="s">
        <v>579</v>
      </c>
      <c r="C117" t="s">
        <v>10</v>
      </c>
      <c r="D117" t="s">
        <v>21</v>
      </c>
      <c r="E117">
        <v>36</v>
      </c>
      <c r="F117">
        <v>2700</v>
      </c>
    </row>
    <row r="118" spans="1:6" x14ac:dyDescent="0.2">
      <c r="A118">
        <v>117</v>
      </c>
      <c r="B118" t="s">
        <v>578</v>
      </c>
      <c r="C118" t="s">
        <v>9</v>
      </c>
      <c r="D118">
        <v>9312</v>
      </c>
      <c r="E118">
        <v>17</v>
      </c>
      <c r="F118">
        <v>1700</v>
      </c>
    </row>
    <row r="119" spans="1:6" x14ac:dyDescent="0.2">
      <c r="A119">
        <v>118</v>
      </c>
      <c r="B119" t="s">
        <v>577</v>
      </c>
      <c r="C119" t="s">
        <v>10</v>
      </c>
      <c r="D119" t="s">
        <v>21</v>
      </c>
      <c r="E119">
        <v>15</v>
      </c>
      <c r="F119">
        <v>1700</v>
      </c>
    </row>
    <row r="120" spans="1:6" x14ac:dyDescent="0.2">
      <c r="A120">
        <v>119</v>
      </c>
      <c r="B120" t="s">
        <v>576</v>
      </c>
      <c r="C120" t="s">
        <v>9</v>
      </c>
      <c r="D120">
        <v>8566</v>
      </c>
      <c r="E120">
        <v>19</v>
      </c>
      <c r="F120">
        <v>1700</v>
      </c>
    </row>
    <row r="121" spans="1:6" x14ac:dyDescent="0.2">
      <c r="A121">
        <v>120</v>
      </c>
      <c r="B121" t="s">
        <v>575</v>
      </c>
      <c r="C121" t="s">
        <v>4</v>
      </c>
      <c r="D121">
        <v>9147</v>
      </c>
      <c r="E121">
        <v>26</v>
      </c>
      <c r="F121">
        <v>1900</v>
      </c>
    </row>
    <row r="122" spans="1:6" x14ac:dyDescent="0.2">
      <c r="A122">
        <v>121</v>
      </c>
      <c r="B122" t="s">
        <v>574</v>
      </c>
      <c r="C122" t="s">
        <v>7</v>
      </c>
      <c r="D122">
        <v>6713</v>
      </c>
      <c r="E122">
        <v>20</v>
      </c>
      <c r="F122">
        <v>1700</v>
      </c>
    </row>
    <row r="123" spans="1:6" x14ac:dyDescent="0.2">
      <c r="A123">
        <v>122</v>
      </c>
      <c r="B123" t="s">
        <v>573</v>
      </c>
      <c r="C123" t="s">
        <v>6</v>
      </c>
      <c r="D123">
        <v>8214</v>
      </c>
      <c r="E123">
        <v>22</v>
      </c>
      <c r="F123">
        <v>1900</v>
      </c>
    </row>
    <row r="124" spans="1:6" x14ac:dyDescent="0.2">
      <c r="A124">
        <v>123</v>
      </c>
      <c r="B124" t="s">
        <v>572</v>
      </c>
      <c r="C124" t="s">
        <v>4</v>
      </c>
      <c r="D124">
        <v>8332</v>
      </c>
      <c r="E124">
        <v>15</v>
      </c>
      <c r="F124">
        <v>1900</v>
      </c>
    </row>
    <row r="125" spans="1:6" x14ac:dyDescent="0.2">
      <c r="A125">
        <v>124</v>
      </c>
      <c r="B125" t="s">
        <v>571</v>
      </c>
      <c r="C125" t="s">
        <v>4</v>
      </c>
      <c r="D125">
        <v>6156</v>
      </c>
      <c r="E125">
        <v>15</v>
      </c>
      <c r="F125">
        <v>1700</v>
      </c>
    </row>
    <row r="126" spans="1:6" x14ac:dyDescent="0.2">
      <c r="A126">
        <v>125</v>
      </c>
      <c r="B126" t="s">
        <v>570</v>
      </c>
      <c r="C126" t="s">
        <v>4</v>
      </c>
      <c r="D126">
        <v>6992</v>
      </c>
      <c r="E126">
        <v>15</v>
      </c>
      <c r="F126">
        <v>1700</v>
      </c>
    </row>
    <row r="127" spans="1:6" x14ac:dyDescent="0.2">
      <c r="A127">
        <v>126</v>
      </c>
      <c r="B127" t="s">
        <v>569</v>
      </c>
      <c r="C127" t="s">
        <v>6</v>
      </c>
      <c r="D127">
        <v>8878</v>
      </c>
      <c r="E127">
        <v>26</v>
      </c>
      <c r="F127">
        <v>1700</v>
      </c>
    </row>
    <row r="128" spans="1:6" x14ac:dyDescent="0.2">
      <c r="A128">
        <v>127</v>
      </c>
      <c r="B128" t="s">
        <v>568</v>
      </c>
      <c r="C128" t="s">
        <v>9</v>
      </c>
      <c r="D128">
        <v>7704</v>
      </c>
      <c r="E128">
        <v>19</v>
      </c>
      <c r="F128">
        <v>1900</v>
      </c>
    </row>
    <row r="129" spans="1:6" x14ac:dyDescent="0.2">
      <c r="A129">
        <v>128</v>
      </c>
      <c r="B129" t="s">
        <v>567</v>
      </c>
      <c r="C129" t="s">
        <v>9</v>
      </c>
      <c r="D129">
        <v>9454</v>
      </c>
      <c r="E129">
        <v>15</v>
      </c>
      <c r="F129">
        <v>1700</v>
      </c>
    </row>
    <row r="130" spans="1:6" x14ac:dyDescent="0.2">
      <c r="A130">
        <v>129</v>
      </c>
      <c r="B130" t="s">
        <v>566</v>
      </c>
      <c r="C130" t="s">
        <v>9</v>
      </c>
      <c r="D130">
        <v>47473</v>
      </c>
      <c r="E130">
        <v>34</v>
      </c>
      <c r="F130">
        <v>2500</v>
      </c>
    </row>
    <row r="131" spans="1:6" x14ac:dyDescent="0.2">
      <c r="A131">
        <v>130</v>
      </c>
      <c r="B131" t="s">
        <v>565</v>
      </c>
      <c r="C131" t="s">
        <v>4</v>
      </c>
      <c r="D131" t="s">
        <v>21</v>
      </c>
      <c r="E131">
        <v>35</v>
      </c>
      <c r="F131">
        <v>2700</v>
      </c>
    </row>
    <row r="132" spans="1:6" x14ac:dyDescent="0.2">
      <c r="A132">
        <v>131</v>
      </c>
      <c r="B132" t="s">
        <v>564</v>
      </c>
      <c r="C132" t="s">
        <v>9</v>
      </c>
      <c r="D132">
        <v>9254</v>
      </c>
      <c r="E132">
        <v>19</v>
      </c>
      <c r="F132">
        <v>1700</v>
      </c>
    </row>
    <row r="133" spans="1:6" x14ac:dyDescent="0.2">
      <c r="A133">
        <v>132</v>
      </c>
      <c r="B133" t="s">
        <v>563</v>
      </c>
      <c r="C133" t="s">
        <v>6</v>
      </c>
      <c r="D133">
        <v>9413</v>
      </c>
      <c r="E133">
        <v>24</v>
      </c>
      <c r="F133">
        <v>1900</v>
      </c>
    </row>
    <row r="134" spans="1:6" x14ac:dyDescent="0.2">
      <c r="A134">
        <v>133</v>
      </c>
      <c r="B134" t="s">
        <v>562</v>
      </c>
      <c r="C134" t="s">
        <v>10</v>
      </c>
      <c r="D134">
        <v>8423</v>
      </c>
      <c r="E134">
        <v>19</v>
      </c>
      <c r="F134">
        <v>1700</v>
      </c>
    </row>
    <row r="135" spans="1:6" x14ac:dyDescent="0.2">
      <c r="A135">
        <v>134</v>
      </c>
      <c r="B135" t="s">
        <v>561</v>
      </c>
      <c r="C135" t="s">
        <v>9</v>
      </c>
      <c r="D135">
        <v>9380</v>
      </c>
      <c r="E135">
        <v>21</v>
      </c>
      <c r="F135">
        <v>1700</v>
      </c>
    </row>
    <row r="136" spans="1:6" x14ac:dyDescent="0.2">
      <c r="A136">
        <v>135</v>
      </c>
      <c r="B136" t="s">
        <v>560</v>
      </c>
      <c r="C136" t="s">
        <v>9</v>
      </c>
      <c r="D136">
        <v>8736</v>
      </c>
      <c r="E136">
        <v>23</v>
      </c>
      <c r="F136">
        <v>1700</v>
      </c>
    </row>
    <row r="137" spans="1:6" x14ac:dyDescent="0.2">
      <c r="A137">
        <v>136</v>
      </c>
      <c r="B137" t="s">
        <v>559</v>
      </c>
      <c r="C137" t="s">
        <v>9</v>
      </c>
      <c r="D137">
        <v>7259</v>
      </c>
      <c r="E137">
        <v>16</v>
      </c>
      <c r="F137">
        <v>1900</v>
      </c>
    </row>
    <row r="138" spans="1:6" x14ac:dyDescent="0.2">
      <c r="A138">
        <v>137</v>
      </c>
      <c r="B138" t="s">
        <v>558</v>
      </c>
      <c r="C138" t="s">
        <v>9</v>
      </c>
      <c r="D138">
        <v>7798</v>
      </c>
      <c r="E138">
        <v>20</v>
      </c>
      <c r="F138">
        <v>1900</v>
      </c>
    </row>
    <row r="139" spans="1:6" x14ac:dyDescent="0.2">
      <c r="A139">
        <v>138</v>
      </c>
      <c r="B139" t="s">
        <v>557</v>
      </c>
      <c r="C139" t="s">
        <v>4</v>
      </c>
      <c r="D139">
        <v>6058</v>
      </c>
      <c r="E139">
        <v>19</v>
      </c>
      <c r="F139">
        <v>1700</v>
      </c>
    </row>
    <row r="140" spans="1:6" x14ac:dyDescent="0.2">
      <c r="A140">
        <v>139</v>
      </c>
      <c r="B140" t="s">
        <v>556</v>
      </c>
      <c r="C140" t="s">
        <v>9</v>
      </c>
      <c r="D140">
        <v>6399</v>
      </c>
      <c r="E140">
        <v>16</v>
      </c>
      <c r="F140">
        <v>1700</v>
      </c>
    </row>
    <row r="141" spans="1:6" x14ac:dyDescent="0.2">
      <c r="A141">
        <v>140</v>
      </c>
      <c r="B141" t="s">
        <v>555</v>
      </c>
      <c r="C141" t="s">
        <v>6</v>
      </c>
      <c r="D141">
        <v>8893</v>
      </c>
      <c r="E141">
        <v>24</v>
      </c>
      <c r="F141">
        <v>1700</v>
      </c>
    </row>
    <row r="142" spans="1:6" x14ac:dyDescent="0.2">
      <c r="A142">
        <v>141</v>
      </c>
      <c r="B142" t="s">
        <v>554</v>
      </c>
      <c r="C142" t="s">
        <v>6</v>
      </c>
      <c r="D142">
        <v>9662</v>
      </c>
      <c r="E142">
        <v>25</v>
      </c>
      <c r="F142">
        <v>1900</v>
      </c>
    </row>
    <row r="143" spans="1:6" x14ac:dyDescent="0.2">
      <c r="A143">
        <v>142</v>
      </c>
      <c r="B143" t="s">
        <v>553</v>
      </c>
      <c r="C143" t="s">
        <v>4</v>
      </c>
      <c r="D143">
        <v>52103</v>
      </c>
      <c r="E143">
        <v>28</v>
      </c>
      <c r="F143">
        <v>2500</v>
      </c>
    </row>
    <row r="144" spans="1:6" x14ac:dyDescent="0.2">
      <c r="A144">
        <v>143</v>
      </c>
      <c r="B144" t="s">
        <v>552</v>
      </c>
      <c r="C144" t="s">
        <v>4</v>
      </c>
      <c r="D144">
        <v>9543</v>
      </c>
      <c r="E144">
        <v>22</v>
      </c>
      <c r="F144">
        <v>1700</v>
      </c>
    </row>
    <row r="145" spans="1:6" x14ac:dyDescent="0.2">
      <c r="A145">
        <v>144</v>
      </c>
      <c r="B145" t="s">
        <v>551</v>
      </c>
      <c r="C145" t="s">
        <v>9</v>
      </c>
      <c r="D145">
        <v>9220</v>
      </c>
      <c r="E145">
        <v>17</v>
      </c>
      <c r="F145">
        <v>1700</v>
      </c>
    </row>
    <row r="146" spans="1:6" x14ac:dyDescent="0.2">
      <c r="A146">
        <v>145</v>
      </c>
      <c r="B146" t="s">
        <v>550</v>
      </c>
      <c r="C146" t="s">
        <v>9</v>
      </c>
      <c r="D146" t="s">
        <v>21</v>
      </c>
      <c r="E146">
        <v>35</v>
      </c>
      <c r="F146">
        <v>2700</v>
      </c>
    </row>
    <row r="147" spans="1:6" x14ac:dyDescent="0.2">
      <c r="A147">
        <v>146</v>
      </c>
      <c r="B147" t="s">
        <v>549</v>
      </c>
      <c r="C147" t="s">
        <v>3</v>
      </c>
      <c r="D147">
        <v>8363</v>
      </c>
      <c r="E147">
        <v>16</v>
      </c>
      <c r="F147">
        <v>1900</v>
      </c>
    </row>
    <row r="148" spans="1:6" x14ac:dyDescent="0.2">
      <c r="A148">
        <v>147</v>
      </c>
      <c r="B148" t="s">
        <v>548</v>
      </c>
      <c r="C148" t="s">
        <v>10</v>
      </c>
      <c r="D148">
        <v>9690</v>
      </c>
      <c r="E148">
        <v>38</v>
      </c>
      <c r="F148">
        <v>2700</v>
      </c>
    </row>
    <row r="149" spans="1:6" x14ac:dyDescent="0.2">
      <c r="A149">
        <v>148</v>
      </c>
      <c r="B149" t="s">
        <v>547</v>
      </c>
      <c r="C149" t="s">
        <v>4</v>
      </c>
      <c r="D149">
        <v>8948</v>
      </c>
      <c r="E149">
        <v>26</v>
      </c>
      <c r="F149">
        <v>1900</v>
      </c>
    </row>
    <row r="150" spans="1:6" x14ac:dyDescent="0.2">
      <c r="A150">
        <v>149</v>
      </c>
      <c r="B150" t="s">
        <v>546</v>
      </c>
      <c r="C150" t="s">
        <v>5</v>
      </c>
      <c r="D150">
        <v>6047</v>
      </c>
      <c r="E150">
        <v>22</v>
      </c>
      <c r="F150">
        <v>1700</v>
      </c>
    </row>
    <row r="151" spans="1:6" x14ac:dyDescent="0.2">
      <c r="A151">
        <v>150</v>
      </c>
      <c r="B151" t="s">
        <v>545</v>
      </c>
      <c r="C151" t="s">
        <v>10</v>
      </c>
      <c r="D151">
        <v>6010</v>
      </c>
      <c r="E151">
        <v>25</v>
      </c>
      <c r="F151">
        <v>1700</v>
      </c>
    </row>
    <row r="152" spans="1:6" x14ac:dyDescent="0.2">
      <c r="A152">
        <v>151</v>
      </c>
      <c r="B152" t="s">
        <v>544</v>
      </c>
      <c r="C152" t="s">
        <v>4</v>
      </c>
      <c r="D152">
        <v>7484</v>
      </c>
      <c r="E152">
        <v>26</v>
      </c>
      <c r="F152">
        <v>1900</v>
      </c>
    </row>
    <row r="153" spans="1:6" x14ac:dyDescent="0.2">
      <c r="A153">
        <v>152</v>
      </c>
      <c r="B153" t="s">
        <v>543</v>
      </c>
      <c r="C153" t="s">
        <v>9</v>
      </c>
      <c r="D153">
        <v>6284</v>
      </c>
      <c r="E153">
        <v>23</v>
      </c>
      <c r="F153">
        <v>1900</v>
      </c>
    </row>
    <row r="154" spans="1:6" x14ac:dyDescent="0.2">
      <c r="A154">
        <v>153</v>
      </c>
      <c r="B154" t="s">
        <v>542</v>
      </c>
      <c r="C154" t="s">
        <v>9</v>
      </c>
      <c r="D154">
        <v>42361</v>
      </c>
      <c r="E154">
        <v>34</v>
      </c>
      <c r="F154">
        <v>2500</v>
      </c>
    </row>
    <row r="155" spans="1:6" x14ac:dyDescent="0.2">
      <c r="A155">
        <v>154</v>
      </c>
      <c r="B155" t="s">
        <v>541</v>
      </c>
      <c r="C155" t="s">
        <v>9</v>
      </c>
      <c r="D155">
        <v>6354</v>
      </c>
      <c r="E155">
        <v>16</v>
      </c>
      <c r="F155">
        <v>1900</v>
      </c>
    </row>
    <row r="156" spans="1:6" x14ac:dyDescent="0.2">
      <c r="A156">
        <v>155</v>
      </c>
      <c r="B156" t="s">
        <v>540</v>
      </c>
      <c r="C156" t="s">
        <v>9</v>
      </c>
      <c r="D156">
        <v>9060</v>
      </c>
      <c r="E156">
        <v>17</v>
      </c>
      <c r="F156">
        <v>1900</v>
      </c>
    </row>
    <row r="157" spans="1:6" x14ac:dyDescent="0.2">
      <c r="A157">
        <v>156</v>
      </c>
      <c r="B157" t="s">
        <v>539</v>
      </c>
      <c r="C157" t="s">
        <v>10</v>
      </c>
      <c r="D157">
        <v>9573</v>
      </c>
      <c r="E157">
        <v>26</v>
      </c>
      <c r="F157">
        <v>1900</v>
      </c>
    </row>
    <row r="158" spans="1:6" x14ac:dyDescent="0.2">
      <c r="A158">
        <v>157</v>
      </c>
      <c r="B158" t="s">
        <v>538</v>
      </c>
      <c r="C158" t="s">
        <v>4</v>
      </c>
      <c r="D158">
        <v>6583</v>
      </c>
      <c r="E158">
        <v>21</v>
      </c>
      <c r="F158">
        <v>1900</v>
      </c>
    </row>
    <row r="159" spans="1:6" x14ac:dyDescent="0.2">
      <c r="A159">
        <v>158</v>
      </c>
      <c r="B159" t="s">
        <v>537</v>
      </c>
      <c r="C159" t="s">
        <v>9</v>
      </c>
      <c r="D159">
        <v>28766</v>
      </c>
      <c r="E159">
        <v>38</v>
      </c>
      <c r="F159">
        <v>2500</v>
      </c>
    </row>
    <row r="160" spans="1:6" x14ac:dyDescent="0.2">
      <c r="A160">
        <v>159</v>
      </c>
      <c r="B160" t="s">
        <v>536</v>
      </c>
      <c r="C160" t="s">
        <v>9</v>
      </c>
      <c r="D160">
        <v>52424</v>
      </c>
      <c r="E160">
        <v>25</v>
      </c>
      <c r="F160">
        <v>2700</v>
      </c>
    </row>
    <row r="161" spans="1:6" x14ac:dyDescent="0.2">
      <c r="A161">
        <v>160</v>
      </c>
      <c r="B161" t="s">
        <v>535</v>
      </c>
      <c r="C161" t="s">
        <v>8</v>
      </c>
      <c r="D161">
        <v>8820</v>
      </c>
      <c r="E161">
        <v>16</v>
      </c>
      <c r="F161">
        <v>1700</v>
      </c>
    </row>
    <row r="162" spans="1:6" x14ac:dyDescent="0.2">
      <c r="A162">
        <v>161</v>
      </c>
      <c r="B162" t="s">
        <v>534</v>
      </c>
      <c r="C162" t="s">
        <v>10</v>
      </c>
      <c r="D162">
        <v>8295</v>
      </c>
      <c r="E162">
        <v>15</v>
      </c>
      <c r="F162">
        <v>1700</v>
      </c>
    </row>
    <row r="163" spans="1:6" x14ac:dyDescent="0.2">
      <c r="A163">
        <v>162</v>
      </c>
      <c r="B163" t="s">
        <v>533</v>
      </c>
      <c r="C163" t="s">
        <v>4</v>
      </c>
      <c r="D163" t="s">
        <v>21</v>
      </c>
      <c r="E163">
        <v>23</v>
      </c>
      <c r="F163">
        <v>1900</v>
      </c>
    </row>
    <row r="164" spans="1:6" x14ac:dyDescent="0.2">
      <c r="A164">
        <v>163</v>
      </c>
      <c r="B164" t="s">
        <v>532</v>
      </c>
      <c r="C164" t="s">
        <v>9</v>
      </c>
      <c r="D164">
        <v>8816</v>
      </c>
      <c r="E164">
        <v>23</v>
      </c>
      <c r="F164">
        <v>1900</v>
      </c>
    </row>
    <row r="165" spans="1:6" x14ac:dyDescent="0.2">
      <c r="A165">
        <v>164</v>
      </c>
      <c r="B165" t="s">
        <v>531</v>
      </c>
      <c r="C165" t="s">
        <v>9</v>
      </c>
      <c r="D165" t="s">
        <v>21</v>
      </c>
      <c r="E165">
        <v>25</v>
      </c>
      <c r="F165">
        <v>1700</v>
      </c>
    </row>
    <row r="166" spans="1:6" x14ac:dyDescent="0.2">
      <c r="A166">
        <v>165</v>
      </c>
      <c r="B166" t="s">
        <v>530</v>
      </c>
      <c r="C166" t="s">
        <v>6</v>
      </c>
      <c r="D166">
        <v>9059</v>
      </c>
      <c r="E166">
        <v>26</v>
      </c>
      <c r="F166">
        <v>1700</v>
      </c>
    </row>
    <row r="167" spans="1:6" x14ac:dyDescent="0.2">
      <c r="A167">
        <v>166</v>
      </c>
      <c r="B167" t="s">
        <v>529</v>
      </c>
      <c r="C167" t="s">
        <v>5</v>
      </c>
      <c r="D167" t="s">
        <v>21</v>
      </c>
      <c r="E167">
        <v>32</v>
      </c>
      <c r="F167">
        <v>2700</v>
      </c>
    </row>
    <row r="168" spans="1:6" x14ac:dyDescent="0.2">
      <c r="A168">
        <v>167</v>
      </c>
      <c r="B168" t="s">
        <v>528</v>
      </c>
      <c r="C168" t="s">
        <v>4</v>
      </c>
      <c r="D168">
        <v>6720</v>
      </c>
      <c r="E168">
        <v>24</v>
      </c>
      <c r="F168">
        <v>1900</v>
      </c>
    </row>
    <row r="169" spans="1:6" x14ac:dyDescent="0.2">
      <c r="A169">
        <v>168</v>
      </c>
      <c r="B169" t="s">
        <v>527</v>
      </c>
      <c r="C169" t="s">
        <v>4</v>
      </c>
      <c r="D169">
        <v>6092</v>
      </c>
      <c r="E169">
        <v>17</v>
      </c>
      <c r="F169">
        <v>1700</v>
      </c>
    </row>
    <row r="170" spans="1:6" x14ac:dyDescent="0.2">
      <c r="A170">
        <v>169</v>
      </c>
      <c r="B170" t="s">
        <v>526</v>
      </c>
      <c r="C170" t="s">
        <v>9</v>
      </c>
      <c r="D170">
        <v>9473</v>
      </c>
      <c r="E170">
        <v>16</v>
      </c>
      <c r="F170">
        <v>1900</v>
      </c>
    </row>
    <row r="171" spans="1:6" x14ac:dyDescent="0.2">
      <c r="A171">
        <v>170</v>
      </c>
      <c r="B171" t="s">
        <v>525</v>
      </c>
      <c r="C171" t="s">
        <v>10</v>
      </c>
      <c r="D171" t="s">
        <v>21</v>
      </c>
      <c r="E171">
        <v>34</v>
      </c>
      <c r="F171">
        <v>2500</v>
      </c>
    </row>
    <row r="172" spans="1:6" x14ac:dyDescent="0.2">
      <c r="A172">
        <v>171</v>
      </c>
      <c r="B172" t="s">
        <v>524</v>
      </c>
      <c r="C172" t="s">
        <v>6</v>
      </c>
      <c r="D172">
        <v>6348</v>
      </c>
      <c r="E172">
        <v>23</v>
      </c>
      <c r="F172">
        <v>1700</v>
      </c>
    </row>
    <row r="173" spans="1:6" x14ac:dyDescent="0.2">
      <c r="A173">
        <v>172</v>
      </c>
      <c r="B173" t="s">
        <v>523</v>
      </c>
      <c r="C173" t="s">
        <v>4</v>
      </c>
      <c r="D173">
        <v>6988</v>
      </c>
      <c r="E173">
        <v>15</v>
      </c>
      <c r="F173">
        <v>1900</v>
      </c>
    </row>
    <row r="174" spans="1:6" x14ac:dyDescent="0.2">
      <c r="A174">
        <v>173</v>
      </c>
      <c r="B174" t="s">
        <v>522</v>
      </c>
      <c r="C174" t="s">
        <v>9</v>
      </c>
      <c r="D174">
        <v>9148</v>
      </c>
      <c r="E174">
        <v>20</v>
      </c>
      <c r="F174">
        <v>1700</v>
      </c>
    </row>
    <row r="175" spans="1:6" x14ac:dyDescent="0.2">
      <c r="A175">
        <v>174</v>
      </c>
      <c r="B175" t="s">
        <v>521</v>
      </c>
      <c r="C175" t="s">
        <v>4</v>
      </c>
      <c r="D175" t="s">
        <v>21</v>
      </c>
      <c r="E175">
        <v>24</v>
      </c>
      <c r="F175">
        <v>1900</v>
      </c>
    </row>
    <row r="176" spans="1:6" x14ac:dyDescent="0.2">
      <c r="A176">
        <v>175</v>
      </c>
      <c r="B176" t="s">
        <v>520</v>
      </c>
      <c r="C176" t="s">
        <v>9</v>
      </c>
      <c r="D176">
        <v>8237</v>
      </c>
      <c r="E176">
        <v>24</v>
      </c>
      <c r="F176">
        <v>1700</v>
      </c>
    </row>
    <row r="177" spans="1:6" x14ac:dyDescent="0.2">
      <c r="A177">
        <v>176</v>
      </c>
      <c r="B177" t="s">
        <v>519</v>
      </c>
      <c r="C177" t="s">
        <v>4</v>
      </c>
      <c r="D177">
        <v>8940</v>
      </c>
      <c r="E177">
        <v>22</v>
      </c>
      <c r="F177">
        <v>1700</v>
      </c>
    </row>
    <row r="178" spans="1:6" x14ac:dyDescent="0.2">
      <c r="A178">
        <v>177</v>
      </c>
      <c r="B178" t="s">
        <v>518</v>
      </c>
      <c r="C178" t="s">
        <v>6</v>
      </c>
      <c r="D178">
        <v>8543</v>
      </c>
      <c r="E178">
        <v>16</v>
      </c>
      <c r="F178">
        <v>1700</v>
      </c>
    </row>
    <row r="179" spans="1:6" x14ac:dyDescent="0.2">
      <c r="A179">
        <v>178</v>
      </c>
      <c r="B179" t="s">
        <v>517</v>
      </c>
      <c r="C179" t="s">
        <v>10</v>
      </c>
      <c r="D179">
        <v>7709</v>
      </c>
      <c r="E179">
        <v>26</v>
      </c>
      <c r="F179">
        <v>1700</v>
      </c>
    </row>
    <row r="180" spans="1:6" x14ac:dyDescent="0.2">
      <c r="A180">
        <v>179</v>
      </c>
      <c r="B180" t="s">
        <v>516</v>
      </c>
      <c r="C180" t="s">
        <v>6</v>
      </c>
      <c r="D180">
        <v>7373</v>
      </c>
      <c r="E180">
        <v>22</v>
      </c>
      <c r="F180">
        <v>1700</v>
      </c>
    </row>
    <row r="181" spans="1:6" x14ac:dyDescent="0.2">
      <c r="A181">
        <v>180</v>
      </c>
      <c r="B181" t="s">
        <v>515</v>
      </c>
      <c r="C181" t="s">
        <v>4</v>
      </c>
      <c r="D181">
        <v>7256</v>
      </c>
      <c r="E181">
        <v>23</v>
      </c>
      <c r="F181">
        <v>1900</v>
      </c>
    </row>
    <row r="182" spans="1:6" x14ac:dyDescent="0.2">
      <c r="A182">
        <v>181</v>
      </c>
      <c r="B182" t="s">
        <v>514</v>
      </c>
      <c r="C182" t="s">
        <v>6</v>
      </c>
      <c r="D182">
        <v>7677</v>
      </c>
      <c r="E182">
        <v>23</v>
      </c>
      <c r="F182">
        <v>1700</v>
      </c>
    </row>
    <row r="183" spans="1:6" x14ac:dyDescent="0.2">
      <c r="A183">
        <v>182</v>
      </c>
      <c r="B183" t="s">
        <v>513</v>
      </c>
      <c r="C183" t="s">
        <v>9</v>
      </c>
      <c r="D183">
        <v>7106</v>
      </c>
      <c r="E183">
        <v>18</v>
      </c>
      <c r="F183">
        <v>1900</v>
      </c>
    </row>
    <row r="184" spans="1:6" x14ac:dyDescent="0.2">
      <c r="A184">
        <v>183</v>
      </c>
      <c r="B184" t="s">
        <v>512</v>
      </c>
      <c r="C184" t="s">
        <v>6</v>
      </c>
      <c r="D184">
        <v>7527</v>
      </c>
      <c r="E184">
        <v>21</v>
      </c>
      <c r="F184">
        <v>1900</v>
      </c>
    </row>
    <row r="185" spans="1:6" x14ac:dyDescent="0.2">
      <c r="A185">
        <v>184</v>
      </c>
      <c r="B185" t="s">
        <v>511</v>
      </c>
      <c r="C185" t="s">
        <v>6</v>
      </c>
      <c r="D185">
        <v>58920</v>
      </c>
      <c r="E185">
        <v>27</v>
      </c>
      <c r="F185">
        <v>2500</v>
      </c>
    </row>
    <row r="186" spans="1:6" x14ac:dyDescent="0.2">
      <c r="A186">
        <v>185</v>
      </c>
      <c r="B186" t="s">
        <v>510</v>
      </c>
      <c r="C186" t="s">
        <v>10</v>
      </c>
      <c r="D186">
        <v>9567</v>
      </c>
      <c r="E186">
        <v>35</v>
      </c>
      <c r="F186">
        <v>2500</v>
      </c>
    </row>
    <row r="187" spans="1:6" x14ac:dyDescent="0.2">
      <c r="A187">
        <v>186</v>
      </c>
      <c r="B187" t="s">
        <v>509</v>
      </c>
      <c r="C187" t="s">
        <v>4</v>
      </c>
      <c r="D187">
        <v>35672</v>
      </c>
      <c r="E187">
        <v>27</v>
      </c>
      <c r="F187">
        <v>2700</v>
      </c>
    </row>
    <row r="188" spans="1:6" x14ac:dyDescent="0.2">
      <c r="A188">
        <v>187</v>
      </c>
      <c r="B188" t="s">
        <v>508</v>
      </c>
      <c r="C188" t="s">
        <v>6</v>
      </c>
      <c r="D188">
        <v>6708</v>
      </c>
      <c r="E188">
        <v>15</v>
      </c>
      <c r="F188">
        <v>1900</v>
      </c>
    </row>
    <row r="189" spans="1:6" x14ac:dyDescent="0.2">
      <c r="A189">
        <v>188</v>
      </c>
      <c r="B189" t="s">
        <v>507</v>
      </c>
      <c r="C189" t="s">
        <v>4</v>
      </c>
      <c r="D189">
        <v>9510</v>
      </c>
      <c r="E189">
        <v>22</v>
      </c>
      <c r="F189">
        <v>1900</v>
      </c>
    </row>
    <row r="190" spans="1:6" x14ac:dyDescent="0.2">
      <c r="A190">
        <v>189</v>
      </c>
      <c r="B190" t="s">
        <v>506</v>
      </c>
      <c r="C190" t="s">
        <v>4</v>
      </c>
      <c r="D190">
        <v>9864</v>
      </c>
      <c r="E190">
        <v>24</v>
      </c>
      <c r="F190">
        <v>1700</v>
      </c>
    </row>
    <row r="191" spans="1:6" x14ac:dyDescent="0.2">
      <c r="A191">
        <v>190</v>
      </c>
      <c r="B191" t="s">
        <v>505</v>
      </c>
      <c r="C191" t="s">
        <v>10</v>
      </c>
      <c r="D191">
        <v>13208</v>
      </c>
      <c r="E191">
        <v>32</v>
      </c>
      <c r="F191">
        <v>2500</v>
      </c>
    </row>
    <row r="192" spans="1:6" x14ac:dyDescent="0.2">
      <c r="A192">
        <v>191</v>
      </c>
      <c r="B192" t="s">
        <v>504</v>
      </c>
      <c r="C192" t="s">
        <v>6</v>
      </c>
      <c r="D192">
        <v>6088</v>
      </c>
      <c r="E192">
        <v>19</v>
      </c>
      <c r="F192">
        <v>1700</v>
      </c>
    </row>
    <row r="193" spans="1:6" x14ac:dyDescent="0.2">
      <c r="A193">
        <v>192</v>
      </c>
      <c r="B193" t="s">
        <v>503</v>
      </c>
      <c r="C193" t="s">
        <v>10</v>
      </c>
      <c r="D193">
        <v>8803</v>
      </c>
      <c r="E193">
        <v>21</v>
      </c>
      <c r="F193">
        <v>1700</v>
      </c>
    </row>
    <row r="194" spans="1:6" x14ac:dyDescent="0.2">
      <c r="A194">
        <v>193</v>
      </c>
      <c r="B194" t="s">
        <v>502</v>
      </c>
      <c r="C194" t="s">
        <v>7</v>
      </c>
      <c r="D194">
        <v>6532</v>
      </c>
      <c r="E194">
        <v>26</v>
      </c>
      <c r="F194">
        <v>1700</v>
      </c>
    </row>
    <row r="195" spans="1:6" x14ac:dyDescent="0.2">
      <c r="A195">
        <v>194</v>
      </c>
      <c r="B195" t="s">
        <v>501</v>
      </c>
      <c r="C195" t="s">
        <v>4</v>
      </c>
      <c r="D195">
        <v>8666</v>
      </c>
      <c r="E195">
        <v>24</v>
      </c>
      <c r="F195">
        <v>1900</v>
      </c>
    </row>
    <row r="196" spans="1:6" x14ac:dyDescent="0.2">
      <c r="A196">
        <v>195</v>
      </c>
      <c r="B196" t="s">
        <v>500</v>
      </c>
      <c r="C196" t="s">
        <v>4</v>
      </c>
      <c r="D196">
        <v>8108</v>
      </c>
      <c r="E196">
        <v>22</v>
      </c>
      <c r="F196">
        <v>1900</v>
      </c>
    </row>
    <row r="197" spans="1:6" x14ac:dyDescent="0.2">
      <c r="A197">
        <v>196</v>
      </c>
      <c r="B197" t="s">
        <v>499</v>
      </c>
      <c r="C197" t="s">
        <v>6</v>
      </c>
      <c r="D197" t="s">
        <v>21</v>
      </c>
      <c r="E197">
        <v>22</v>
      </c>
      <c r="F197">
        <v>1700</v>
      </c>
    </row>
    <row r="198" spans="1:6" x14ac:dyDescent="0.2">
      <c r="A198">
        <v>197</v>
      </c>
      <c r="B198" t="s">
        <v>498</v>
      </c>
      <c r="C198" t="s">
        <v>7</v>
      </c>
      <c r="D198">
        <v>7584</v>
      </c>
      <c r="E198">
        <v>25</v>
      </c>
      <c r="F198">
        <v>1700</v>
      </c>
    </row>
    <row r="199" spans="1:6" x14ac:dyDescent="0.2">
      <c r="A199">
        <v>198</v>
      </c>
      <c r="B199" t="s">
        <v>497</v>
      </c>
      <c r="C199" t="s">
        <v>6</v>
      </c>
      <c r="D199">
        <v>7054</v>
      </c>
      <c r="E199">
        <v>19</v>
      </c>
      <c r="F199">
        <v>1900</v>
      </c>
    </row>
    <row r="200" spans="1:6" x14ac:dyDescent="0.2">
      <c r="A200">
        <v>199</v>
      </c>
      <c r="B200" t="s">
        <v>496</v>
      </c>
      <c r="C200" t="s">
        <v>9</v>
      </c>
      <c r="D200">
        <v>9193</v>
      </c>
      <c r="E200">
        <v>16</v>
      </c>
      <c r="F200">
        <v>1700</v>
      </c>
    </row>
    <row r="201" spans="1:6" x14ac:dyDescent="0.2">
      <c r="A201">
        <v>200</v>
      </c>
      <c r="B201" t="s">
        <v>495</v>
      </c>
      <c r="C201" t="s">
        <v>6</v>
      </c>
      <c r="D201">
        <v>7070</v>
      </c>
      <c r="E201">
        <v>24</v>
      </c>
      <c r="F201">
        <v>1900</v>
      </c>
    </row>
    <row r="202" spans="1:6" x14ac:dyDescent="0.2">
      <c r="A202">
        <v>201</v>
      </c>
      <c r="B202" t="s">
        <v>494</v>
      </c>
      <c r="C202" t="s">
        <v>9</v>
      </c>
      <c r="D202">
        <v>6340</v>
      </c>
      <c r="E202">
        <v>22</v>
      </c>
      <c r="F202">
        <v>1900</v>
      </c>
    </row>
    <row r="203" spans="1:6" x14ac:dyDescent="0.2">
      <c r="A203">
        <v>202</v>
      </c>
      <c r="B203" t="s">
        <v>493</v>
      </c>
      <c r="C203" t="s">
        <v>4</v>
      </c>
      <c r="D203">
        <v>8773</v>
      </c>
      <c r="E203">
        <v>20</v>
      </c>
      <c r="F203">
        <v>1900</v>
      </c>
    </row>
    <row r="204" spans="1:6" x14ac:dyDescent="0.2">
      <c r="A204">
        <v>203</v>
      </c>
      <c r="B204" t="s">
        <v>492</v>
      </c>
      <c r="C204" t="s">
        <v>6</v>
      </c>
      <c r="D204">
        <v>8839</v>
      </c>
      <c r="E204">
        <v>26</v>
      </c>
      <c r="F204">
        <v>1700</v>
      </c>
    </row>
    <row r="205" spans="1:6" x14ac:dyDescent="0.2">
      <c r="A205">
        <v>204</v>
      </c>
      <c r="B205" t="s">
        <v>491</v>
      </c>
      <c r="C205" t="s">
        <v>6</v>
      </c>
      <c r="D205">
        <v>53922</v>
      </c>
      <c r="E205">
        <v>34</v>
      </c>
      <c r="F205">
        <v>2700</v>
      </c>
    </row>
    <row r="206" spans="1:6" x14ac:dyDescent="0.2">
      <c r="A206">
        <v>205</v>
      </c>
      <c r="B206" t="s">
        <v>490</v>
      </c>
      <c r="C206" t="s">
        <v>9</v>
      </c>
      <c r="D206">
        <v>6485</v>
      </c>
      <c r="E206">
        <v>19</v>
      </c>
      <c r="F206">
        <v>1900</v>
      </c>
    </row>
    <row r="207" spans="1:6" x14ac:dyDescent="0.2">
      <c r="A207">
        <v>206</v>
      </c>
      <c r="B207" t="s">
        <v>489</v>
      </c>
      <c r="C207" t="s">
        <v>9</v>
      </c>
      <c r="D207">
        <v>7597</v>
      </c>
      <c r="E207">
        <v>16</v>
      </c>
      <c r="F207">
        <v>1900</v>
      </c>
    </row>
    <row r="208" spans="1:6" x14ac:dyDescent="0.2">
      <c r="A208">
        <v>207</v>
      </c>
      <c r="B208" t="s">
        <v>488</v>
      </c>
      <c r="C208" t="s">
        <v>9</v>
      </c>
      <c r="D208">
        <v>9366</v>
      </c>
      <c r="E208">
        <v>16</v>
      </c>
      <c r="F208">
        <v>1900</v>
      </c>
    </row>
    <row r="209" spans="1:6" x14ac:dyDescent="0.2">
      <c r="A209">
        <v>208</v>
      </c>
      <c r="B209" t="s">
        <v>487</v>
      </c>
      <c r="C209" t="s">
        <v>9</v>
      </c>
      <c r="D209">
        <v>9537</v>
      </c>
      <c r="E209">
        <v>24</v>
      </c>
      <c r="F209">
        <v>1900</v>
      </c>
    </row>
    <row r="210" spans="1:6" x14ac:dyDescent="0.2">
      <c r="A210">
        <v>209</v>
      </c>
      <c r="B210" t="s">
        <v>486</v>
      </c>
      <c r="C210" t="s">
        <v>4</v>
      </c>
      <c r="D210">
        <v>6492</v>
      </c>
      <c r="E210">
        <v>20</v>
      </c>
      <c r="F210">
        <v>1900</v>
      </c>
    </row>
    <row r="211" spans="1:6" x14ac:dyDescent="0.2">
      <c r="A211">
        <v>210</v>
      </c>
      <c r="B211" t="s">
        <v>485</v>
      </c>
      <c r="C211" t="s">
        <v>10</v>
      </c>
      <c r="D211">
        <v>9147</v>
      </c>
      <c r="E211">
        <v>22</v>
      </c>
      <c r="F211">
        <v>1700</v>
      </c>
    </row>
    <row r="212" spans="1:6" x14ac:dyDescent="0.2">
      <c r="A212">
        <v>211</v>
      </c>
      <c r="B212" t="s">
        <v>484</v>
      </c>
      <c r="C212" t="s">
        <v>9</v>
      </c>
      <c r="D212">
        <v>8184</v>
      </c>
      <c r="E212">
        <v>21</v>
      </c>
      <c r="F212">
        <v>1900</v>
      </c>
    </row>
    <row r="213" spans="1:6" x14ac:dyDescent="0.2">
      <c r="A213">
        <v>212</v>
      </c>
      <c r="B213" t="s">
        <v>483</v>
      </c>
      <c r="C213" t="s">
        <v>6</v>
      </c>
      <c r="D213">
        <v>6470</v>
      </c>
      <c r="E213">
        <v>18</v>
      </c>
      <c r="F213">
        <v>1700</v>
      </c>
    </row>
    <row r="214" spans="1:6" x14ac:dyDescent="0.2">
      <c r="A214">
        <v>213</v>
      </c>
      <c r="B214" t="s">
        <v>482</v>
      </c>
      <c r="C214" t="s">
        <v>10</v>
      </c>
      <c r="D214">
        <v>8471</v>
      </c>
      <c r="E214">
        <v>16</v>
      </c>
      <c r="F214">
        <v>1700</v>
      </c>
    </row>
    <row r="215" spans="1:6" x14ac:dyDescent="0.2">
      <c r="A215">
        <v>214</v>
      </c>
      <c r="B215" t="s">
        <v>481</v>
      </c>
      <c r="C215" t="s">
        <v>6</v>
      </c>
      <c r="D215" t="s">
        <v>21</v>
      </c>
      <c r="E215">
        <v>37</v>
      </c>
      <c r="F215">
        <v>2500</v>
      </c>
    </row>
    <row r="216" spans="1:6" x14ac:dyDescent="0.2">
      <c r="A216">
        <v>215</v>
      </c>
      <c r="B216" t="s">
        <v>480</v>
      </c>
      <c r="C216" t="s">
        <v>4</v>
      </c>
      <c r="D216">
        <v>6253</v>
      </c>
      <c r="E216">
        <v>22</v>
      </c>
      <c r="F216">
        <v>1900</v>
      </c>
    </row>
    <row r="217" spans="1:6" x14ac:dyDescent="0.2">
      <c r="A217">
        <v>216</v>
      </c>
      <c r="B217" t="s">
        <v>479</v>
      </c>
      <c r="C217" t="s">
        <v>7</v>
      </c>
      <c r="D217">
        <v>7467</v>
      </c>
      <c r="E217">
        <v>21</v>
      </c>
      <c r="F217">
        <v>1700</v>
      </c>
    </row>
    <row r="218" spans="1:6" x14ac:dyDescent="0.2">
      <c r="A218">
        <v>217</v>
      </c>
      <c r="B218" t="s">
        <v>478</v>
      </c>
      <c r="C218" t="s">
        <v>4</v>
      </c>
      <c r="D218">
        <v>9533</v>
      </c>
      <c r="E218">
        <v>25</v>
      </c>
      <c r="F218">
        <v>1900</v>
      </c>
    </row>
    <row r="219" spans="1:6" x14ac:dyDescent="0.2">
      <c r="A219">
        <v>218</v>
      </c>
      <c r="B219" t="s">
        <v>477</v>
      </c>
      <c r="C219" t="s">
        <v>9</v>
      </c>
      <c r="D219">
        <v>7077</v>
      </c>
      <c r="E219">
        <v>24</v>
      </c>
      <c r="F219">
        <v>1900</v>
      </c>
    </row>
    <row r="220" spans="1:6" x14ac:dyDescent="0.2">
      <c r="A220">
        <v>219</v>
      </c>
      <c r="B220" t="s">
        <v>476</v>
      </c>
      <c r="C220" t="s">
        <v>10</v>
      </c>
      <c r="D220">
        <v>6916</v>
      </c>
      <c r="E220">
        <v>19</v>
      </c>
      <c r="F220">
        <v>1700</v>
      </c>
    </row>
    <row r="221" spans="1:6" x14ac:dyDescent="0.2">
      <c r="A221">
        <v>220</v>
      </c>
      <c r="B221" t="s">
        <v>475</v>
      </c>
      <c r="C221" t="s">
        <v>10</v>
      </c>
      <c r="D221">
        <v>6236</v>
      </c>
      <c r="E221">
        <v>25</v>
      </c>
      <c r="F221">
        <v>1700</v>
      </c>
    </row>
    <row r="222" spans="1:6" x14ac:dyDescent="0.2">
      <c r="A222">
        <v>221</v>
      </c>
      <c r="B222" t="s">
        <v>474</v>
      </c>
      <c r="C222" t="s">
        <v>4</v>
      </c>
      <c r="D222">
        <v>59969</v>
      </c>
      <c r="E222">
        <v>25</v>
      </c>
      <c r="F222">
        <v>2700</v>
      </c>
    </row>
    <row r="223" spans="1:6" x14ac:dyDescent="0.2">
      <c r="A223">
        <v>222</v>
      </c>
      <c r="B223" t="s">
        <v>473</v>
      </c>
      <c r="C223" t="s">
        <v>4</v>
      </c>
      <c r="D223">
        <v>6729</v>
      </c>
      <c r="E223">
        <v>16</v>
      </c>
      <c r="F223">
        <v>1700</v>
      </c>
    </row>
    <row r="224" spans="1:6" x14ac:dyDescent="0.2">
      <c r="A224">
        <v>223</v>
      </c>
      <c r="B224" t="s">
        <v>472</v>
      </c>
      <c r="C224" t="s">
        <v>9</v>
      </c>
      <c r="D224">
        <v>7592</v>
      </c>
      <c r="E224">
        <v>18</v>
      </c>
      <c r="F224">
        <v>1700</v>
      </c>
    </row>
    <row r="225" spans="1:6" x14ac:dyDescent="0.2">
      <c r="A225">
        <v>224</v>
      </c>
      <c r="B225" t="s">
        <v>471</v>
      </c>
      <c r="C225" t="s">
        <v>6</v>
      </c>
      <c r="D225">
        <v>9692</v>
      </c>
      <c r="E225">
        <v>20</v>
      </c>
      <c r="F225">
        <v>1900</v>
      </c>
    </row>
    <row r="226" spans="1:6" x14ac:dyDescent="0.2">
      <c r="A226">
        <v>225</v>
      </c>
      <c r="B226" t="s">
        <v>470</v>
      </c>
      <c r="C226" t="s">
        <v>4</v>
      </c>
      <c r="D226">
        <v>7478</v>
      </c>
      <c r="E226">
        <v>23</v>
      </c>
      <c r="F226">
        <v>1700</v>
      </c>
    </row>
    <row r="227" spans="1:6" x14ac:dyDescent="0.2">
      <c r="A227">
        <v>226</v>
      </c>
      <c r="B227" t="s">
        <v>469</v>
      </c>
      <c r="C227" t="s">
        <v>10</v>
      </c>
      <c r="D227">
        <v>8760</v>
      </c>
      <c r="E227">
        <v>18</v>
      </c>
      <c r="F227">
        <v>1700</v>
      </c>
    </row>
    <row r="228" spans="1:6" x14ac:dyDescent="0.2">
      <c r="A228">
        <v>227</v>
      </c>
      <c r="B228" t="s">
        <v>468</v>
      </c>
      <c r="C228" t="s">
        <v>6</v>
      </c>
      <c r="D228">
        <v>30045</v>
      </c>
      <c r="E228">
        <v>27</v>
      </c>
      <c r="F228">
        <v>2700</v>
      </c>
    </row>
    <row r="229" spans="1:6" x14ac:dyDescent="0.2">
      <c r="A229">
        <v>228</v>
      </c>
      <c r="B229" t="s">
        <v>467</v>
      </c>
      <c r="C229" t="s">
        <v>4</v>
      </c>
      <c r="D229" t="s">
        <v>21</v>
      </c>
      <c r="E229">
        <v>19</v>
      </c>
      <c r="F229">
        <v>1700</v>
      </c>
    </row>
    <row r="230" spans="1:6" x14ac:dyDescent="0.2">
      <c r="A230">
        <v>229</v>
      </c>
      <c r="B230" t="s">
        <v>466</v>
      </c>
      <c r="C230" t="s">
        <v>10</v>
      </c>
      <c r="D230" t="s">
        <v>21</v>
      </c>
      <c r="E230">
        <v>28</v>
      </c>
      <c r="F230">
        <v>2500</v>
      </c>
    </row>
    <row r="231" spans="1:6" x14ac:dyDescent="0.2">
      <c r="A231">
        <v>230</v>
      </c>
      <c r="B231" t="s">
        <v>465</v>
      </c>
      <c r="C231" t="s">
        <v>6</v>
      </c>
      <c r="D231">
        <v>41158</v>
      </c>
      <c r="E231">
        <v>25</v>
      </c>
      <c r="F231">
        <v>2500</v>
      </c>
    </row>
    <row r="232" spans="1:6" x14ac:dyDescent="0.2">
      <c r="A232">
        <v>231</v>
      </c>
      <c r="B232" t="s">
        <v>464</v>
      </c>
      <c r="C232" t="s">
        <v>4</v>
      </c>
      <c r="D232">
        <v>7725</v>
      </c>
      <c r="E232">
        <v>24</v>
      </c>
      <c r="F232">
        <v>1700</v>
      </c>
    </row>
    <row r="233" spans="1:6" x14ac:dyDescent="0.2">
      <c r="A233">
        <v>232</v>
      </c>
      <c r="B233" t="s">
        <v>463</v>
      </c>
      <c r="C233" t="s">
        <v>4</v>
      </c>
      <c r="D233">
        <v>50685</v>
      </c>
      <c r="E233">
        <v>27</v>
      </c>
      <c r="F233">
        <v>2500</v>
      </c>
    </row>
    <row r="234" spans="1:6" x14ac:dyDescent="0.2">
      <c r="A234">
        <v>233</v>
      </c>
      <c r="B234" t="s">
        <v>462</v>
      </c>
      <c r="C234" t="s">
        <v>3</v>
      </c>
      <c r="D234">
        <v>37203</v>
      </c>
      <c r="E234">
        <v>34</v>
      </c>
      <c r="F234">
        <v>2500</v>
      </c>
    </row>
    <row r="235" spans="1:6" x14ac:dyDescent="0.2">
      <c r="A235">
        <v>234</v>
      </c>
      <c r="B235" t="s">
        <v>461</v>
      </c>
      <c r="C235" t="s">
        <v>4</v>
      </c>
      <c r="D235">
        <v>39895</v>
      </c>
      <c r="E235">
        <v>25</v>
      </c>
      <c r="F235">
        <v>2700</v>
      </c>
    </row>
    <row r="236" spans="1:6" x14ac:dyDescent="0.2">
      <c r="A236">
        <v>235</v>
      </c>
      <c r="B236" t="s">
        <v>460</v>
      </c>
      <c r="C236" t="s">
        <v>10</v>
      </c>
      <c r="D236">
        <v>8184</v>
      </c>
      <c r="E236">
        <v>16</v>
      </c>
      <c r="F236">
        <v>1900</v>
      </c>
    </row>
    <row r="237" spans="1:6" x14ac:dyDescent="0.2">
      <c r="A237">
        <v>236</v>
      </c>
      <c r="B237" t="s">
        <v>459</v>
      </c>
      <c r="C237" t="s">
        <v>9</v>
      </c>
      <c r="D237">
        <v>47067</v>
      </c>
      <c r="E237">
        <v>34</v>
      </c>
      <c r="F237">
        <v>2500</v>
      </c>
    </row>
    <row r="238" spans="1:6" x14ac:dyDescent="0.2">
      <c r="A238">
        <v>237</v>
      </c>
      <c r="B238" t="s">
        <v>458</v>
      </c>
      <c r="C238" t="s">
        <v>4</v>
      </c>
      <c r="D238">
        <v>26646</v>
      </c>
      <c r="E238">
        <v>34</v>
      </c>
      <c r="F238">
        <v>2500</v>
      </c>
    </row>
    <row r="239" spans="1:6" x14ac:dyDescent="0.2">
      <c r="A239">
        <v>238</v>
      </c>
      <c r="B239" t="s">
        <v>457</v>
      </c>
      <c r="C239" t="s">
        <v>9</v>
      </c>
      <c r="D239">
        <v>18146</v>
      </c>
      <c r="E239">
        <v>39</v>
      </c>
      <c r="F239">
        <v>2700</v>
      </c>
    </row>
    <row r="240" spans="1:6" x14ac:dyDescent="0.2">
      <c r="A240">
        <v>239</v>
      </c>
      <c r="B240" t="s">
        <v>456</v>
      </c>
      <c r="C240" t="s">
        <v>9</v>
      </c>
      <c r="D240">
        <v>6164</v>
      </c>
      <c r="E240">
        <v>15</v>
      </c>
      <c r="F240">
        <v>1700</v>
      </c>
    </row>
    <row r="241" spans="1:6" x14ac:dyDescent="0.2">
      <c r="A241">
        <v>240</v>
      </c>
      <c r="B241" t="s">
        <v>455</v>
      </c>
      <c r="C241" t="s">
        <v>7</v>
      </c>
      <c r="D241">
        <v>6606</v>
      </c>
      <c r="E241">
        <v>20</v>
      </c>
      <c r="F241">
        <v>1900</v>
      </c>
    </row>
    <row r="242" spans="1:6" x14ac:dyDescent="0.2">
      <c r="A242">
        <v>241</v>
      </c>
      <c r="B242" t="s">
        <v>454</v>
      </c>
      <c r="C242" t="s">
        <v>5</v>
      </c>
      <c r="D242">
        <v>6094</v>
      </c>
      <c r="E242">
        <v>16</v>
      </c>
      <c r="F242">
        <v>1900</v>
      </c>
    </row>
    <row r="243" spans="1:6" x14ac:dyDescent="0.2">
      <c r="A243">
        <v>242</v>
      </c>
      <c r="B243" t="s">
        <v>453</v>
      </c>
      <c r="C243" t="s">
        <v>9</v>
      </c>
      <c r="D243">
        <v>6360</v>
      </c>
      <c r="E243">
        <v>23</v>
      </c>
      <c r="F243">
        <v>1900</v>
      </c>
    </row>
    <row r="244" spans="1:6" x14ac:dyDescent="0.2">
      <c r="A244">
        <v>243</v>
      </c>
      <c r="B244" t="s">
        <v>452</v>
      </c>
      <c r="C244" t="s">
        <v>9</v>
      </c>
      <c r="D244">
        <v>7981</v>
      </c>
      <c r="E244">
        <v>16</v>
      </c>
      <c r="F244">
        <v>1700</v>
      </c>
    </row>
    <row r="245" spans="1:6" x14ac:dyDescent="0.2">
      <c r="A245">
        <v>244</v>
      </c>
      <c r="B245" t="s">
        <v>451</v>
      </c>
      <c r="C245" t="s">
        <v>6</v>
      </c>
      <c r="D245">
        <v>6532</v>
      </c>
      <c r="E245">
        <v>26</v>
      </c>
      <c r="F245">
        <v>1900</v>
      </c>
    </row>
    <row r="246" spans="1:6" x14ac:dyDescent="0.2">
      <c r="A246">
        <v>245</v>
      </c>
      <c r="B246" t="s">
        <v>450</v>
      </c>
      <c r="C246" t="s">
        <v>7</v>
      </c>
      <c r="D246">
        <v>57538</v>
      </c>
      <c r="E246">
        <v>29</v>
      </c>
      <c r="F246">
        <v>2500</v>
      </c>
    </row>
    <row r="247" spans="1:6" x14ac:dyDescent="0.2">
      <c r="A247">
        <v>246</v>
      </c>
      <c r="B247" t="s">
        <v>449</v>
      </c>
      <c r="C247" t="s">
        <v>4</v>
      </c>
      <c r="D247" t="s">
        <v>21</v>
      </c>
      <c r="E247">
        <v>23</v>
      </c>
      <c r="F247">
        <v>1900</v>
      </c>
    </row>
    <row r="248" spans="1:6" x14ac:dyDescent="0.2">
      <c r="A248">
        <v>247</v>
      </c>
      <c r="B248" t="s">
        <v>448</v>
      </c>
      <c r="C248" t="s">
        <v>9</v>
      </c>
      <c r="D248">
        <v>7443</v>
      </c>
      <c r="E248">
        <v>23</v>
      </c>
      <c r="F248">
        <v>1700</v>
      </c>
    </row>
    <row r="249" spans="1:6" x14ac:dyDescent="0.2">
      <c r="A249">
        <v>248</v>
      </c>
      <c r="B249" t="s">
        <v>447</v>
      </c>
      <c r="C249" t="s">
        <v>9</v>
      </c>
      <c r="D249">
        <v>9127</v>
      </c>
      <c r="E249">
        <v>24</v>
      </c>
      <c r="F249">
        <v>1700</v>
      </c>
    </row>
    <row r="250" spans="1:6" x14ac:dyDescent="0.2">
      <c r="A250">
        <v>249</v>
      </c>
      <c r="B250" t="s">
        <v>446</v>
      </c>
      <c r="C250" t="s">
        <v>6</v>
      </c>
      <c r="D250">
        <v>6673</v>
      </c>
      <c r="E250">
        <v>20</v>
      </c>
      <c r="F250">
        <v>1700</v>
      </c>
    </row>
    <row r="251" spans="1:6" x14ac:dyDescent="0.2">
      <c r="A251">
        <v>250</v>
      </c>
      <c r="B251" t="s">
        <v>445</v>
      </c>
      <c r="C251" t="s">
        <v>9</v>
      </c>
      <c r="D251">
        <v>6505</v>
      </c>
      <c r="E251">
        <v>26</v>
      </c>
      <c r="F251">
        <v>1700</v>
      </c>
    </row>
    <row r="252" spans="1:6" x14ac:dyDescent="0.2">
      <c r="A252">
        <v>251</v>
      </c>
      <c r="B252" t="s">
        <v>444</v>
      </c>
      <c r="C252" t="s">
        <v>6</v>
      </c>
      <c r="D252">
        <v>8107</v>
      </c>
      <c r="E252">
        <v>19</v>
      </c>
      <c r="F252">
        <v>1900</v>
      </c>
    </row>
    <row r="253" spans="1:6" x14ac:dyDescent="0.2">
      <c r="A253">
        <v>252</v>
      </c>
      <c r="B253" t="s">
        <v>443</v>
      </c>
      <c r="C253" t="s">
        <v>4</v>
      </c>
      <c r="D253">
        <v>7321</v>
      </c>
      <c r="E253">
        <v>18</v>
      </c>
      <c r="F253">
        <v>1700</v>
      </c>
    </row>
    <row r="254" spans="1:6" x14ac:dyDescent="0.2">
      <c r="A254">
        <v>253</v>
      </c>
      <c r="B254" t="s">
        <v>442</v>
      </c>
      <c r="C254" t="s">
        <v>4</v>
      </c>
      <c r="D254">
        <v>7857</v>
      </c>
      <c r="E254">
        <v>23</v>
      </c>
      <c r="F254">
        <v>1700</v>
      </c>
    </row>
    <row r="255" spans="1:6" x14ac:dyDescent="0.2">
      <c r="A255">
        <v>254</v>
      </c>
      <c r="B255" t="s">
        <v>441</v>
      </c>
      <c r="C255" t="s">
        <v>8</v>
      </c>
      <c r="D255" t="s">
        <v>21</v>
      </c>
      <c r="E255">
        <v>22</v>
      </c>
      <c r="F255">
        <v>1700</v>
      </c>
    </row>
    <row r="256" spans="1:6" x14ac:dyDescent="0.2">
      <c r="A256">
        <v>255</v>
      </c>
      <c r="B256" t="s">
        <v>440</v>
      </c>
      <c r="C256" t="s">
        <v>6</v>
      </c>
      <c r="D256">
        <v>8961</v>
      </c>
      <c r="E256">
        <v>17</v>
      </c>
      <c r="F256">
        <v>1700</v>
      </c>
    </row>
    <row r="257" spans="1:6" x14ac:dyDescent="0.2">
      <c r="A257">
        <v>256</v>
      </c>
      <c r="B257" t="s">
        <v>439</v>
      </c>
      <c r="C257" t="s">
        <v>9</v>
      </c>
      <c r="D257" t="s">
        <v>21</v>
      </c>
      <c r="E257">
        <v>24</v>
      </c>
      <c r="F257">
        <v>1900</v>
      </c>
    </row>
    <row r="258" spans="1:6" x14ac:dyDescent="0.2">
      <c r="A258">
        <v>257</v>
      </c>
      <c r="B258" t="s">
        <v>438</v>
      </c>
      <c r="C258" t="s">
        <v>9</v>
      </c>
      <c r="D258">
        <v>6335</v>
      </c>
      <c r="E258">
        <v>25</v>
      </c>
      <c r="F258">
        <v>1700</v>
      </c>
    </row>
    <row r="259" spans="1:6" x14ac:dyDescent="0.2">
      <c r="A259">
        <v>258</v>
      </c>
      <c r="B259" t="s">
        <v>437</v>
      </c>
      <c r="C259" t="s">
        <v>9</v>
      </c>
      <c r="D259">
        <v>8220</v>
      </c>
      <c r="E259">
        <v>15</v>
      </c>
      <c r="F259">
        <v>1900</v>
      </c>
    </row>
    <row r="260" spans="1:6" x14ac:dyDescent="0.2">
      <c r="A260">
        <v>259</v>
      </c>
      <c r="B260" t="s">
        <v>436</v>
      </c>
      <c r="C260" t="s">
        <v>10</v>
      </c>
      <c r="D260">
        <v>31793</v>
      </c>
      <c r="E260">
        <v>33</v>
      </c>
      <c r="F260">
        <v>2500</v>
      </c>
    </row>
    <row r="261" spans="1:6" x14ac:dyDescent="0.2">
      <c r="A261">
        <v>260</v>
      </c>
      <c r="B261" t="s">
        <v>435</v>
      </c>
      <c r="C261" t="s">
        <v>10</v>
      </c>
      <c r="D261">
        <v>13032</v>
      </c>
      <c r="E261">
        <v>26</v>
      </c>
      <c r="F261">
        <v>2500</v>
      </c>
    </row>
    <row r="262" spans="1:6" x14ac:dyDescent="0.2">
      <c r="A262">
        <v>261</v>
      </c>
      <c r="B262" t="s">
        <v>434</v>
      </c>
      <c r="C262" t="s">
        <v>4</v>
      </c>
      <c r="D262">
        <v>7278</v>
      </c>
      <c r="E262">
        <v>25</v>
      </c>
      <c r="F262">
        <v>1900</v>
      </c>
    </row>
    <row r="263" spans="1:6" x14ac:dyDescent="0.2">
      <c r="A263">
        <v>262</v>
      </c>
      <c r="B263" t="s">
        <v>433</v>
      </c>
      <c r="C263" t="s">
        <v>9</v>
      </c>
      <c r="D263" t="s">
        <v>21</v>
      </c>
      <c r="E263">
        <v>25</v>
      </c>
      <c r="F263">
        <v>1700</v>
      </c>
    </row>
    <row r="264" spans="1:6" x14ac:dyDescent="0.2">
      <c r="A264">
        <v>263</v>
      </c>
      <c r="B264" t="s">
        <v>432</v>
      </c>
      <c r="C264" t="s">
        <v>9</v>
      </c>
      <c r="D264">
        <v>48287</v>
      </c>
      <c r="E264">
        <v>37</v>
      </c>
      <c r="F264">
        <v>2500</v>
      </c>
    </row>
    <row r="265" spans="1:6" x14ac:dyDescent="0.2">
      <c r="A265">
        <v>264</v>
      </c>
      <c r="B265" t="s">
        <v>431</v>
      </c>
      <c r="C265" t="s">
        <v>10</v>
      </c>
      <c r="D265">
        <v>6915</v>
      </c>
      <c r="E265">
        <v>22</v>
      </c>
      <c r="F265">
        <v>1700</v>
      </c>
    </row>
    <row r="266" spans="1:6" x14ac:dyDescent="0.2">
      <c r="A266">
        <v>265</v>
      </c>
      <c r="B266" t="s">
        <v>430</v>
      </c>
      <c r="C266" t="s">
        <v>6</v>
      </c>
      <c r="D266">
        <v>6972</v>
      </c>
      <c r="E266">
        <v>17</v>
      </c>
      <c r="F266">
        <v>1700</v>
      </c>
    </row>
    <row r="267" spans="1:6" x14ac:dyDescent="0.2">
      <c r="A267">
        <v>266</v>
      </c>
      <c r="B267" t="s">
        <v>429</v>
      </c>
      <c r="C267" t="s">
        <v>5</v>
      </c>
      <c r="D267">
        <v>9217</v>
      </c>
      <c r="E267">
        <v>15</v>
      </c>
      <c r="F267">
        <v>1900</v>
      </c>
    </row>
    <row r="268" spans="1:6" x14ac:dyDescent="0.2">
      <c r="A268">
        <v>267</v>
      </c>
      <c r="B268" t="s">
        <v>428</v>
      </c>
      <c r="C268" t="s">
        <v>4</v>
      </c>
      <c r="D268">
        <v>9881</v>
      </c>
      <c r="E268">
        <v>25</v>
      </c>
      <c r="F268">
        <v>1700</v>
      </c>
    </row>
    <row r="269" spans="1:6" x14ac:dyDescent="0.2">
      <c r="A269">
        <v>268</v>
      </c>
      <c r="B269" t="s">
        <v>427</v>
      </c>
      <c r="C269" t="s">
        <v>4</v>
      </c>
      <c r="D269">
        <v>8620</v>
      </c>
      <c r="E269">
        <v>24</v>
      </c>
      <c r="F269">
        <v>1700</v>
      </c>
    </row>
    <row r="270" spans="1:6" x14ac:dyDescent="0.2">
      <c r="A270">
        <v>269</v>
      </c>
      <c r="B270" t="s">
        <v>426</v>
      </c>
      <c r="C270" t="s">
        <v>4</v>
      </c>
      <c r="D270">
        <v>7402</v>
      </c>
      <c r="E270">
        <v>25</v>
      </c>
      <c r="F270">
        <v>1700</v>
      </c>
    </row>
    <row r="271" spans="1:6" x14ac:dyDescent="0.2">
      <c r="A271">
        <v>270</v>
      </c>
      <c r="B271" t="s">
        <v>425</v>
      </c>
      <c r="C271" t="s">
        <v>9</v>
      </c>
      <c r="D271">
        <v>7725</v>
      </c>
      <c r="E271">
        <v>17</v>
      </c>
      <c r="F271">
        <v>1900</v>
      </c>
    </row>
    <row r="272" spans="1:6" x14ac:dyDescent="0.2">
      <c r="A272">
        <v>271</v>
      </c>
      <c r="B272" t="s">
        <v>424</v>
      </c>
      <c r="C272" t="s">
        <v>4</v>
      </c>
      <c r="D272">
        <v>6241</v>
      </c>
      <c r="E272">
        <v>26</v>
      </c>
      <c r="F272">
        <v>1700</v>
      </c>
    </row>
    <row r="273" spans="1:6" x14ac:dyDescent="0.2">
      <c r="A273">
        <v>272</v>
      </c>
      <c r="B273" t="s">
        <v>423</v>
      </c>
      <c r="C273" t="s">
        <v>4</v>
      </c>
      <c r="D273">
        <v>7493</v>
      </c>
      <c r="E273">
        <v>24</v>
      </c>
      <c r="F273">
        <v>1700</v>
      </c>
    </row>
    <row r="274" spans="1:6" x14ac:dyDescent="0.2">
      <c r="A274">
        <v>273</v>
      </c>
      <c r="B274" t="s">
        <v>422</v>
      </c>
      <c r="C274" t="s">
        <v>4</v>
      </c>
      <c r="D274">
        <v>34201</v>
      </c>
      <c r="E274">
        <v>35</v>
      </c>
      <c r="F274">
        <v>2700</v>
      </c>
    </row>
    <row r="275" spans="1:6" x14ac:dyDescent="0.2">
      <c r="A275">
        <v>274</v>
      </c>
      <c r="B275" t="s">
        <v>421</v>
      </c>
      <c r="C275" t="s">
        <v>3</v>
      </c>
      <c r="D275">
        <v>13449</v>
      </c>
      <c r="E275">
        <v>34</v>
      </c>
      <c r="F275">
        <v>2700</v>
      </c>
    </row>
    <row r="276" spans="1:6" x14ac:dyDescent="0.2">
      <c r="A276">
        <v>275</v>
      </c>
      <c r="B276" t="s">
        <v>420</v>
      </c>
      <c r="C276" t="s">
        <v>9</v>
      </c>
      <c r="D276">
        <v>9782</v>
      </c>
      <c r="E276">
        <v>20</v>
      </c>
      <c r="F276">
        <v>1700</v>
      </c>
    </row>
    <row r="277" spans="1:6" x14ac:dyDescent="0.2">
      <c r="A277">
        <v>276</v>
      </c>
      <c r="B277" t="s">
        <v>419</v>
      </c>
      <c r="C277" t="s">
        <v>9</v>
      </c>
      <c r="D277">
        <v>24928</v>
      </c>
      <c r="E277">
        <v>37</v>
      </c>
      <c r="F277">
        <v>2500</v>
      </c>
    </row>
    <row r="278" spans="1:6" x14ac:dyDescent="0.2">
      <c r="A278">
        <v>277</v>
      </c>
      <c r="B278" t="s">
        <v>418</v>
      </c>
      <c r="C278" t="s">
        <v>4</v>
      </c>
      <c r="D278" t="s">
        <v>21</v>
      </c>
      <c r="E278">
        <v>22</v>
      </c>
      <c r="F278">
        <v>1700</v>
      </c>
    </row>
    <row r="279" spans="1:6" x14ac:dyDescent="0.2">
      <c r="A279">
        <v>278</v>
      </c>
      <c r="B279" t="s">
        <v>417</v>
      </c>
      <c r="C279" t="s">
        <v>10</v>
      </c>
      <c r="D279">
        <v>9763</v>
      </c>
      <c r="E279">
        <v>23</v>
      </c>
      <c r="F279">
        <v>1700</v>
      </c>
    </row>
    <row r="280" spans="1:6" x14ac:dyDescent="0.2">
      <c r="A280">
        <v>279</v>
      </c>
      <c r="B280" t="s">
        <v>416</v>
      </c>
      <c r="C280" t="s">
        <v>4</v>
      </c>
      <c r="D280">
        <v>8898</v>
      </c>
      <c r="E280">
        <v>24</v>
      </c>
      <c r="F280">
        <v>1700</v>
      </c>
    </row>
    <row r="281" spans="1:6" x14ac:dyDescent="0.2">
      <c r="A281">
        <v>280</v>
      </c>
      <c r="B281" t="s">
        <v>415</v>
      </c>
      <c r="C281" t="s">
        <v>6</v>
      </c>
      <c r="D281">
        <v>7137</v>
      </c>
      <c r="E281">
        <v>25</v>
      </c>
      <c r="F281">
        <v>1900</v>
      </c>
    </row>
    <row r="282" spans="1:6" x14ac:dyDescent="0.2">
      <c r="A282">
        <v>281</v>
      </c>
      <c r="B282" t="s">
        <v>414</v>
      </c>
      <c r="C282" t="s">
        <v>4</v>
      </c>
      <c r="D282">
        <v>44797</v>
      </c>
      <c r="E282">
        <v>31</v>
      </c>
      <c r="F282">
        <v>2500</v>
      </c>
    </row>
    <row r="283" spans="1:6" x14ac:dyDescent="0.2">
      <c r="A283">
        <v>282</v>
      </c>
      <c r="B283" t="s">
        <v>413</v>
      </c>
      <c r="C283" t="s">
        <v>9</v>
      </c>
      <c r="D283">
        <v>48772</v>
      </c>
      <c r="E283">
        <v>39</v>
      </c>
      <c r="F283">
        <v>2500</v>
      </c>
    </row>
    <row r="284" spans="1:6" x14ac:dyDescent="0.2">
      <c r="A284">
        <v>283</v>
      </c>
      <c r="B284" t="s">
        <v>412</v>
      </c>
      <c r="C284" t="s">
        <v>9</v>
      </c>
      <c r="D284">
        <v>8559</v>
      </c>
      <c r="E284">
        <v>26</v>
      </c>
      <c r="F284">
        <v>1700</v>
      </c>
    </row>
    <row r="285" spans="1:6" x14ac:dyDescent="0.2">
      <c r="A285">
        <v>284</v>
      </c>
      <c r="B285" t="s">
        <v>411</v>
      </c>
      <c r="C285" t="s">
        <v>7</v>
      </c>
      <c r="D285">
        <v>6629</v>
      </c>
      <c r="E285">
        <v>25</v>
      </c>
      <c r="F285">
        <v>1700</v>
      </c>
    </row>
    <row r="286" spans="1:6" x14ac:dyDescent="0.2">
      <c r="A286">
        <v>285</v>
      </c>
      <c r="B286" t="s">
        <v>410</v>
      </c>
      <c r="C286" t="s">
        <v>6</v>
      </c>
      <c r="D286">
        <v>6217</v>
      </c>
      <c r="E286">
        <v>20</v>
      </c>
      <c r="F286">
        <v>1700</v>
      </c>
    </row>
    <row r="287" spans="1:6" x14ac:dyDescent="0.2">
      <c r="A287">
        <v>286</v>
      </c>
      <c r="B287" t="s">
        <v>409</v>
      </c>
      <c r="C287" t="s">
        <v>6</v>
      </c>
      <c r="D287" t="s">
        <v>21</v>
      </c>
      <c r="E287">
        <v>15</v>
      </c>
      <c r="F287">
        <v>1900</v>
      </c>
    </row>
    <row r="288" spans="1:6" x14ac:dyDescent="0.2">
      <c r="A288">
        <v>287</v>
      </c>
      <c r="B288" t="s">
        <v>408</v>
      </c>
      <c r="C288" t="s">
        <v>6</v>
      </c>
      <c r="D288">
        <v>9093</v>
      </c>
      <c r="E288">
        <v>23</v>
      </c>
      <c r="F288">
        <v>1700</v>
      </c>
    </row>
    <row r="289" spans="1:6" x14ac:dyDescent="0.2">
      <c r="A289">
        <v>288</v>
      </c>
      <c r="B289" t="s">
        <v>407</v>
      </c>
      <c r="C289" t="s">
        <v>4</v>
      </c>
      <c r="D289">
        <v>6853</v>
      </c>
      <c r="E289">
        <v>18</v>
      </c>
      <c r="F289">
        <v>1900</v>
      </c>
    </row>
    <row r="290" spans="1:6" x14ac:dyDescent="0.2">
      <c r="A290">
        <v>289</v>
      </c>
      <c r="B290" t="s">
        <v>406</v>
      </c>
      <c r="C290" t="s">
        <v>9</v>
      </c>
      <c r="D290">
        <v>7756</v>
      </c>
      <c r="E290">
        <v>15</v>
      </c>
      <c r="F290">
        <v>1700</v>
      </c>
    </row>
    <row r="291" spans="1:6" x14ac:dyDescent="0.2">
      <c r="A291">
        <v>290</v>
      </c>
      <c r="B291" t="s">
        <v>405</v>
      </c>
      <c r="C291" t="s">
        <v>4</v>
      </c>
      <c r="D291">
        <v>6084</v>
      </c>
      <c r="E291">
        <v>15</v>
      </c>
      <c r="F291">
        <v>1700</v>
      </c>
    </row>
    <row r="292" spans="1:6" x14ac:dyDescent="0.2">
      <c r="A292">
        <v>291</v>
      </c>
      <c r="B292" t="s">
        <v>404</v>
      </c>
      <c r="C292" t="s">
        <v>10</v>
      </c>
      <c r="D292">
        <v>10938</v>
      </c>
      <c r="E292">
        <v>36</v>
      </c>
      <c r="F292">
        <v>2500</v>
      </c>
    </row>
    <row r="293" spans="1:6" x14ac:dyDescent="0.2">
      <c r="A293">
        <v>292</v>
      </c>
      <c r="B293" t="s">
        <v>403</v>
      </c>
      <c r="C293" t="s">
        <v>9</v>
      </c>
      <c r="D293" t="s">
        <v>21</v>
      </c>
      <c r="E293">
        <v>19</v>
      </c>
      <c r="F293">
        <v>1700</v>
      </c>
    </row>
    <row r="294" spans="1:6" x14ac:dyDescent="0.2">
      <c r="A294">
        <v>293</v>
      </c>
      <c r="B294" t="s">
        <v>402</v>
      </c>
      <c r="C294" t="s">
        <v>6</v>
      </c>
      <c r="D294">
        <v>6075</v>
      </c>
      <c r="E294">
        <v>15</v>
      </c>
      <c r="F294">
        <v>1700</v>
      </c>
    </row>
    <row r="295" spans="1:6" x14ac:dyDescent="0.2">
      <c r="A295">
        <v>294</v>
      </c>
      <c r="B295" t="s">
        <v>401</v>
      </c>
      <c r="C295" t="s">
        <v>4</v>
      </c>
      <c r="D295" t="s">
        <v>21</v>
      </c>
      <c r="E295">
        <v>36</v>
      </c>
      <c r="F295">
        <v>2500</v>
      </c>
    </row>
    <row r="296" spans="1:6" x14ac:dyDescent="0.2">
      <c r="A296">
        <v>295</v>
      </c>
      <c r="B296" t="s">
        <v>400</v>
      </c>
      <c r="C296" t="s">
        <v>4</v>
      </c>
      <c r="D296">
        <v>8436</v>
      </c>
      <c r="E296">
        <v>18</v>
      </c>
      <c r="F296">
        <v>1900</v>
      </c>
    </row>
    <row r="297" spans="1:6" x14ac:dyDescent="0.2">
      <c r="A297">
        <v>296</v>
      </c>
      <c r="B297" t="s">
        <v>399</v>
      </c>
      <c r="C297" t="s">
        <v>4</v>
      </c>
      <c r="D297">
        <v>8997</v>
      </c>
      <c r="E297">
        <v>37</v>
      </c>
      <c r="F297">
        <v>2700</v>
      </c>
    </row>
    <row r="298" spans="1:6" x14ac:dyDescent="0.2">
      <c r="A298">
        <v>297</v>
      </c>
      <c r="B298" t="s">
        <v>398</v>
      </c>
      <c r="C298" t="s">
        <v>9</v>
      </c>
      <c r="D298">
        <v>9275</v>
      </c>
      <c r="E298">
        <v>25</v>
      </c>
      <c r="F298">
        <v>1700</v>
      </c>
    </row>
    <row r="299" spans="1:6" x14ac:dyDescent="0.2">
      <c r="A299">
        <v>298</v>
      </c>
      <c r="B299" t="s">
        <v>397</v>
      </c>
      <c r="C299" t="s">
        <v>5</v>
      </c>
      <c r="D299">
        <v>7156</v>
      </c>
      <c r="E299">
        <v>19</v>
      </c>
      <c r="F299">
        <v>1700</v>
      </c>
    </row>
    <row r="300" spans="1:6" x14ac:dyDescent="0.2">
      <c r="A300">
        <v>299</v>
      </c>
      <c r="B300" t="s">
        <v>396</v>
      </c>
      <c r="C300" t="s">
        <v>10</v>
      </c>
      <c r="D300">
        <v>7239</v>
      </c>
      <c r="E300">
        <v>22</v>
      </c>
      <c r="F300">
        <v>1900</v>
      </c>
    </row>
    <row r="301" spans="1:6" x14ac:dyDescent="0.2">
      <c r="A301">
        <v>300</v>
      </c>
      <c r="B301" t="s">
        <v>395</v>
      </c>
      <c r="C301" t="s">
        <v>6</v>
      </c>
      <c r="D301">
        <v>7706</v>
      </c>
      <c r="E301">
        <v>15</v>
      </c>
      <c r="F301">
        <v>1700</v>
      </c>
    </row>
    <row r="302" spans="1:6" x14ac:dyDescent="0.2">
      <c r="A302">
        <v>301</v>
      </c>
      <c r="B302" t="s">
        <v>394</v>
      </c>
      <c r="C302" t="s">
        <v>10</v>
      </c>
      <c r="D302">
        <v>8127</v>
      </c>
      <c r="E302">
        <v>17</v>
      </c>
      <c r="F302">
        <v>1700</v>
      </c>
    </row>
    <row r="303" spans="1:6" x14ac:dyDescent="0.2">
      <c r="A303">
        <v>302</v>
      </c>
      <c r="B303" t="s">
        <v>393</v>
      </c>
      <c r="C303" t="s">
        <v>7</v>
      </c>
      <c r="D303">
        <v>6503</v>
      </c>
      <c r="E303">
        <v>20</v>
      </c>
      <c r="F303">
        <v>1700</v>
      </c>
    </row>
    <row r="304" spans="1:6" x14ac:dyDescent="0.2">
      <c r="A304">
        <v>303</v>
      </c>
      <c r="B304" t="s">
        <v>392</v>
      </c>
      <c r="C304" t="s">
        <v>4</v>
      </c>
      <c r="D304">
        <v>9703</v>
      </c>
      <c r="E304">
        <v>18</v>
      </c>
      <c r="F304">
        <v>1700</v>
      </c>
    </row>
    <row r="305" spans="1:6" x14ac:dyDescent="0.2">
      <c r="A305">
        <v>304</v>
      </c>
      <c r="B305" t="s">
        <v>391</v>
      </c>
      <c r="C305" t="s">
        <v>10</v>
      </c>
      <c r="D305">
        <v>9290</v>
      </c>
      <c r="E305">
        <v>25</v>
      </c>
      <c r="F305">
        <v>1700</v>
      </c>
    </row>
    <row r="306" spans="1:6" x14ac:dyDescent="0.2">
      <c r="A306">
        <v>305</v>
      </c>
      <c r="B306" t="s">
        <v>390</v>
      </c>
      <c r="C306" t="s">
        <v>4</v>
      </c>
      <c r="D306">
        <v>7472</v>
      </c>
      <c r="E306">
        <v>16</v>
      </c>
      <c r="F306">
        <v>1900</v>
      </c>
    </row>
    <row r="307" spans="1:6" x14ac:dyDescent="0.2">
      <c r="A307">
        <v>306</v>
      </c>
      <c r="B307" t="s">
        <v>389</v>
      </c>
      <c r="C307" t="s">
        <v>10</v>
      </c>
      <c r="D307">
        <v>9513</v>
      </c>
      <c r="E307">
        <v>21</v>
      </c>
      <c r="F307">
        <v>1700</v>
      </c>
    </row>
    <row r="308" spans="1:6" x14ac:dyDescent="0.2">
      <c r="A308">
        <v>307</v>
      </c>
      <c r="B308" t="s">
        <v>388</v>
      </c>
      <c r="C308" t="s">
        <v>9</v>
      </c>
      <c r="D308">
        <v>6161</v>
      </c>
      <c r="E308">
        <v>25</v>
      </c>
      <c r="F308">
        <v>1700</v>
      </c>
    </row>
    <row r="309" spans="1:6" x14ac:dyDescent="0.2">
      <c r="A309">
        <v>308</v>
      </c>
      <c r="B309" t="s">
        <v>387</v>
      </c>
      <c r="C309" t="s">
        <v>9</v>
      </c>
      <c r="D309" t="s">
        <v>21</v>
      </c>
      <c r="E309">
        <v>20</v>
      </c>
      <c r="F309">
        <v>1700</v>
      </c>
    </row>
    <row r="310" spans="1:6" x14ac:dyDescent="0.2">
      <c r="A310">
        <v>309</v>
      </c>
      <c r="B310" t="s">
        <v>386</v>
      </c>
      <c r="C310" t="s">
        <v>6</v>
      </c>
      <c r="D310">
        <v>23473</v>
      </c>
      <c r="E310">
        <v>30</v>
      </c>
      <c r="F310">
        <v>2500</v>
      </c>
    </row>
    <row r="311" spans="1:6" x14ac:dyDescent="0.2">
      <c r="A311">
        <v>310</v>
      </c>
      <c r="B311" t="s">
        <v>385</v>
      </c>
      <c r="C311" t="s">
        <v>7</v>
      </c>
      <c r="D311">
        <v>7553</v>
      </c>
      <c r="E311">
        <v>21</v>
      </c>
      <c r="F311">
        <v>1700</v>
      </c>
    </row>
    <row r="312" spans="1:6" x14ac:dyDescent="0.2">
      <c r="A312">
        <v>311</v>
      </c>
      <c r="B312" t="s">
        <v>384</v>
      </c>
      <c r="C312" t="s">
        <v>9</v>
      </c>
      <c r="D312">
        <v>9029</v>
      </c>
      <c r="E312">
        <v>22</v>
      </c>
      <c r="F312">
        <v>1700</v>
      </c>
    </row>
    <row r="313" spans="1:6" x14ac:dyDescent="0.2">
      <c r="A313">
        <v>312</v>
      </c>
      <c r="B313" t="s">
        <v>383</v>
      </c>
      <c r="C313" t="s">
        <v>10</v>
      </c>
      <c r="D313">
        <v>7533</v>
      </c>
      <c r="E313">
        <v>24</v>
      </c>
      <c r="F313">
        <v>1700</v>
      </c>
    </row>
    <row r="314" spans="1:6" x14ac:dyDescent="0.2">
      <c r="A314">
        <v>313</v>
      </c>
      <c r="B314" t="s">
        <v>382</v>
      </c>
      <c r="C314" t="s">
        <v>7</v>
      </c>
      <c r="D314">
        <v>7052</v>
      </c>
      <c r="E314">
        <v>16</v>
      </c>
      <c r="F314">
        <v>1900</v>
      </c>
    </row>
    <row r="315" spans="1:6" x14ac:dyDescent="0.2">
      <c r="A315">
        <v>314</v>
      </c>
      <c r="B315" t="s">
        <v>381</v>
      </c>
      <c r="C315" t="s">
        <v>10</v>
      </c>
      <c r="D315">
        <v>6296</v>
      </c>
      <c r="E315">
        <v>25</v>
      </c>
      <c r="F315">
        <v>1700</v>
      </c>
    </row>
    <row r="316" spans="1:6" x14ac:dyDescent="0.2">
      <c r="A316">
        <v>315</v>
      </c>
      <c r="B316" t="s">
        <v>380</v>
      </c>
      <c r="C316" t="s">
        <v>9</v>
      </c>
      <c r="D316">
        <v>7151</v>
      </c>
      <c r="E316">
        <v>19</v>
      </c>
      <c r="F316">
        <v>1700</v>
      </c>
    </row>
    <row r="317" spans="1:6" x14ac:dyDescent="0.2">
      <c r="A317">
        <v>316</v>
      </c>
      <c r="B317" t="s">
        <v>379</v>
      </c>
      <c r="C317" t="s">
        <v>9</v>
      </c>
      <c r="D317">
        <v>47242</v>
      </c>
      <c r="E317">
        <v>38</v>
      </c>
      <c r="F317">
        <v>2700</v>
      </c>
    </row>
    <row r="318" spans="1:6" x14ac:dyDescent="0.2">
      <c r="A318">
        <v>317</v>
      </c>
      <c r="B318" t="s">
        <v>378</v>
      </c>
      <c r="C318" t="s">
        <v>9</v>
      </c>
      <c r="D318">
        <v>6929</v>
      </c>
      <c r="E318">
        <v>20</v>
      </c>
      <c r="F318">
        <v>1700</v>
      </c>
    </row>
    <row r="319" spans="1:6" x14ac:dyDescent="0.2">
      <c r="A319">
        <v>318</v>
      </c>
      <c r="B319" t="s">
        <v>377</v>
      </c>
      <c r="C319" t="s">
        <v>3</v>
      </c>
      <c r="D319">
        <v>8112</v>
      </c>
      <c r="E319">
        <v>24</v>
      </c>
      <c r="F319">
        <v>1700</v>
      </c>
    </row>
    <row r="320" spans="1:6" x14ac:dyDescent="0.2">
      <c r="A320">
        <v>319</v>
      </c>
      <c r="B320" t="s">
        <v>376</v>
      </c>
      <c r="C320" t="s">
        <v>4</v>
      </c>
      <c r="D320">
        <v>22619</v>
      </c>
      <c r="E320">
        <v>39</v>
      </c>
      <c r="F320">
        <v>2500</v>
      </c>
    </row>
    <row r="321" spans="1:6" x14ac:dyDescent="0.2">
      <c r="A321">
        <v>320</v>
      </c>
      <c r="B321" t="s">
        <v>375</v>
      </c>
      <c r="C321" t="s">
        <v>9</v>
      </c>
      <c r="D321">
        <v>6080</v>
      </c>
      <c r="E321">
        <v>26</v>
      </c>
      <c r="F321">
        <v>1700</v>
      </c>
    </row>
    <row r="322" spans="1:6" x14ac:dyDescent="0.2">
      <c r="A322">
        <v>321</v>
      </c>
      <c r="B322" t="s">
        <v>374</v>
      </c>
      <c r="C322" t="s">
        <v>6</v>
      </c>
      <c r="D322">
        <v>6719</v>
      </c>
      <c r="E322">
        <v>20</v>
      </c>
      <c r="F322">
        <v>1700</v>
      </c>
    </row>
    <row r="323" spans="1:6" x14ac:dyDescent="0.2">
      <c r="A323">
        <v>322</v>
      </c>
      <c r="B323" t="s">
        <v>373</v>
      </c>
      <c r="C323" t="s">
        <v>4</v>
      </c>
      <c r="D323">
        <v>37886</v>
      </c>
      <c r="E323">
        <v>36</v>
      </c>
      <c r="F323">
        <v>2500</v>
      </c>
    </row>
    <row r="324" spans="1:6" x14ac:dyDescent="0.2">
      <c r="A324">
        <v>323</v>
      </c>
      <c r="B324" t="s">
        <v>372</v>
      </c>
      <c r="C324" t="s">
        <v>10</v>
      </c>
      <c r="D324">
        <v>6586</v>
      </c>
      <c r="E324">
        <v>18</v>
      </c>
      <c r="F324">
        <v>1700</v>
      </c>
    </row>
    <row r="325" spans="1:6" x14ac:dyDescent="0.2">
      <c r="A325">
        <v>324</v>
      </c>
      <c r="B325" t="s">
        <v>371</v>
      </c>
      <c r="C325" t="s">
        <v>9</v>
      </c>
      <c r="D325">
        <v>8700</v>
      </c>
      <c r="E325">
        <v>21</v>
      </c>
      <c r="F325">
        <v>1700</v>
      </c>
    </row>
    <row r="326" spans="1:6" x14ac:dyDescent="0.2">
      <c r="A326">
        <v>325</v>
      </c>
      <c r="B326" t="s">
        <v>370</v>
      </c>
      <c r="C326" t="s">
        <v>4</v>
      </c>
      <c r="D326">
        <v>8225</v>
      </c>
      <c r="E326">
        <v>21</v>
      </c>
      <c r="F326">
        <v>1700</v>
      </c>
    </row>
    <row r="327" spans="1:6" x14ac:dyDescent="0.2">
      <c r="A327">
        <v>326</v>
      </c>
      <c r="B327" t="s">
        <v>369</v>
      </c>
      <c r="C327" t="s">
        <v>4</v>
      </c>
      <c r="D327">
        <v>7524</v>
      </c>
      <c r="E327">
        <v>24</v>
      </c>
      <c r="F327">
        <v>1700</v>
      </c>
    </row>
    <row r="328" spans="1:6" x14ac:dyDescent="0.2">
      <c r="A328">
        <v>327</v>
      </c>
      <c r="B328" t="s">
        <v>368</v>
      </c>
      <c r="C328" t="s">
        <v>4</v>
      </c>
      <c r="D328">
        <v>54073</v>
      </c>
      <c r="E328">
        <v>25</v>
      </c>
      <c r="F328">
        <v>2500</v>
      </c>
    </row>
    <row r="329" spans="1:6" x14ac:dyDescent="0.2">
      <c r="A329">
        <v>328</v>
      </c>
      <c r="B329" t="s">
        <v>367</v>
      </c>
      <c r="C329" t="s">
        <v>6</v>
      </c>
      <c r="D329">
        <v>7607</v>
      </c>
      <c r="E329">
        <v>18</v>
      </c>
      <c r="F329">
        <v>1900</v>
      </c>
    </row>
    <row r="330" spans="1:6" x14ac:dyDescent="0.2">
      <c r="A330">
        <v>329</v>
      </c>
      <c r="B330" t="s">
        <v>366</v>
      </c>
      <c r="C330" t="s">
        <v>6</v>
      </c>
      <c r="D330">
        <v>32908</v>
      </c>
      <c r="E330">
        <v>34</v>
      </c>
      <c r="F330">
        <v>2500</v>
      </c>
    </row>
    <row r="331" spans="1:6" x14ac:dyDescent="0.2">
      <c r="A331">
        <v>330</v>
      </c>
      <c r="B331" t="s">
        <v>365</v>
      </c>
      <c r="C331" t="s">
        <v>4</v>
      </c>
      <c r="D331" t="s">
        <v>21</v>
      </c>
      <c r="E331">
        <v>24</v>
      </c>
      <c r="F331">
        <v>1700</v>
      </c>
    </row>
    <row r="332" spans="1:6" x14ac:dyDescent="0.2">
      <c r="A332">
        <v>331</v>
      </c>
      <c r="B332" t="s">
        <v>364</v>
      </c>
      <c r="C332" t="s">
        <v>6</v>
      </c>
      <c r="D332" t="s">
        <v>21</v>
      </c>
      <c r="E332">
        <v>26</v>
      </c>
      <c r="F332">
        <v>1700</v>
      </c>
    </row>
    <row r="333" spans="1:6" x14ac:dyDescent="0.2">
      <c r="A333">
        <v>332</v>
      </c>
      <c r="B333" t="s">
        <v>363</v>
      </c>
      <c r="C333" t="s">
        <v>10</v>
      </c>
      <c r="D333">
        <v>7903</v>
      </c>
      <c r="E333">
        <v>24</v>
      </c>
      <c r="F333">
        <v>1700</v>
      </c>
    </row>
    <row r="334" spans="1:6" x14ac:dyDescent="0.2">
      <c r="A334">
        <v>333</v>
      </c>
      <c r="B334" t="s">
        <v>362</v>
      </c>
      <c r="C334" t="s">
        <v>9</v>
      </c>
      <c r="D334">
        <v>6223</v>
      </c>
      <c r="E334">
        <v>18</v>
      </c>
      <c r="F334">
        <v>1900</v>
      </c>
    </row>
    <row r="335" spans="1:6" x14ac:dyDescent="0.2">
      <c r="A335">
        <v>334</v>
      </c>
      <c r="B335" t="s">
        <v>361</v>
      </c>
      <c r="C335" t="s">
        <v>6</v>
      </c>
      <c r="D335">
        <v>8133</v>
      </c>
      <c r="E335">
        <v>24</v>
      </c>
      <c r="F335">
        <v>1700</v>
      </c>
    </row>
    <row r="336" spans="1:6" x14ac:dyDescent="0.2">
      <c r="A336">
        <v>335</v>
      </c>
      <c r="B336" t="s">
        <v>360</v>
      </c>
      <c r="C336" t="s">
        <v>6</v>
      </c>
      <c r="D336">
        <v>9707</v>
      </c>
      <c r="E336">
        <v>25</v>
      </c>
      <c r="F336">
        <v>1900</v>
      </c>
    </row>
    <row r="337" spans="1:6" x14ac:dyDescent="0.2">
      <c r="A337">
        <v>336</v>
      </c>
      <c r="B337" t="s">
        <v>359</v>
      </c>
      <c r="C337" t="s">
        <v>6</v>
      </c>
      <c r="D337">
        <v>44789</v>
      </c>
      <c r="E337">
        <v>31</v>
      </c>
      <c r="F337">
        <v>2700</v>
      </c>
    </row>
    <row r="338" spans="1:6" x14ac:dyDescent="0.2">
      <c r="A338">
        <v>337</v>
      </c>
      <c r="B338" t="s">
        <v>358</v>
      </c>
      <c r="C338" t="s">
        <v>4</v>
      </c>
      <c r="D338">
        <v>8966</v>
      </c>
      <c r="E338">
        <v>21</v>
      </c>
      <c r="F338">
        <v>1700</v>
      </c>
    </row>
    <row r="339" spans="1:6" x14ac:dyDescent="0.2">
      <c r="A339">
        <v>338</v>
      </c>
      <c r="B339" t="s">
        <v>357</v>
      </c>
      <c r="C339" t="s">
        <v>6</v>
      </c>
      <c r="D339" t="s">
        <v>21</v>
      </c>
      <c r="E339">
        <v>38</v>
      </c>
      <c r="F339">
        <v>2500</v>
      </c>
    </row>
    <row r="340" spans="1:6" x14ac:dyDescent="0.2">
      <c r="A340">
        <v>339</v>
      </c>
      <c r="B340" t="s">
        <v>356</v>
      </c>
      <c r="C340" t="s">
        <v>10</v>
      </c>
      <c r="D340">
        <v>8507</v>
      </c>
      <c r="E340">
        <v>26</v>
      </c>
      <c r="F340">
        <v>1700</v>
      </c>
    </row>
    <row r="341" spans="1:6" x14ac:dyDescent="0.2">
      <c r="A341">
        <v>340</v>
      </c>
      <c r="B341" t="s">
        <v>355</v>
      </c>
      <c r="C341" t="s">
        <v>6</v>
      </c>
      <c r="D341">
        <v>9012</v>
      </c>
      <c r="E341">
        <v>24</v>
      </c>
      <c r="F341">
        <v>1900</v>
      </c>
    </row>
    <row r="342" spans="1:6" x14ac:dyDescent="0.2">
      <c r="A342">
        <v>341</v>
      </c>
      <c r="B342" t="s">
        <v>354</v>
      </c>
      <c r="C342" t="s">
        <v>4</v>
      </c>
      <c r="D342">
        <v>9410</v>
      </c>
      <c r="E342">
        <v>17</v>
      </c>
      <c r="F342">
        <v>1700</v>
      </c>
    </row>
    <row r="343" spans="1:6" x14ac:dyDescent="0.2">
      <c r="A343">
        <v>342</v>
      </c>
      <c r="B343" t="s">
        <v>353</v>
      </c>
      <c r="C343" t="s">
        <v>4</v>
      </c>
      <c r="D343">
        <v>9691</v>
      </c>
      <c r="E343">
        <v>19</v>
      </c>
      <c r="F343">
        <v>1700</v>
      </c>
    </row>
    <row r="344" spans="1:6" x14ac:dyDescent="0.2">
      <c r="A344">
        <v>343</v>
      </c>
      <c r="B344" t="s">
        <v>352</v>
      </c>
      <c r="C344" t="s">
        <v>6</v>
      </c>
      <c r="D344">
        <v>18261</v>
      </c>
      <c r="E344">
        <v>32</v>
      </c>
      <c r="F344">
        <v>2500</v>
      </c>
    </row>
    <row r="345" spans="1:6" x14ac:dyDescent="0.2">
      <c r="A345">
        <v>344</v>
      </c>
      <c r="B345" t="s">
        <v>351</v>
      </c>
      <c r="C345" t="s">
        <v>9</v>
      </c>
      <c r="D345">
        <v>8143</v>
      </c>
      <c r="E345">
        <v>21</v>
      </c>
      <c r="F345">
        <v>1700</v>
      </c>
    </row>
    <row r="346" spans="1:6" x14ac:dyDescent="0.2">
      <c r="A346">
        <v>345</v>
      </c>
      <c r="B346" t="s">
        <v>350</v>
      </c>
      <c r="C346" t="s">
        <v>9</v>
      </c>
      <c r="D346">
        <v>8436</v>
      </c>
      <c r="E346">
        <v>20</v>
      </c>
      <c r="F346">
        <v>1700</v>
      </c>
    </row>
    <row r="347" spans="1:6" x14ac:dyDescent="0.2">
      <c r="A347">
        <v>346</v>
      </c>
      <c r="B347" t="s">
        <v>349</v>
      </c>
      <c r="C347" t="s">
        <v>9</v>
      </c>
      <c r="D347">
        <v>43162</v>
      </c>
      <c r="E347">
        <v>38</v>
      </c>
      <c r="F347">
        <v>2500</v>
      </c>
    </row>
    <row r="348" spans="1:6" x14ac:dyDescent="0.2">
      <c r="A348">
        <v>347</v>
      </c>
      <c r="B348" t="s">
        <v>348</v>
      </c>
      <c r="C348" t="s">
        <v>10</v>
      </c>
      <c r="D348">
        <v>7665</v>
      </c>
      <c r="E348">
        <v>26</v>
      </c>
      <c r="F348">
        <v>1900</v>
      </c>
    </row>
    <row r="349" spans="1:6" x14ac:dyDescent="0.2">
      <c r="A349">
        <v>348</v>
      </c>
      <c r="B349" t="s">
        <v>347</v>
      </c>
      <c r="C349" t="s">
        <v>4</v>
      </c>
      <c r="D349" t="s">
        <v>21</v>
      </c>
      <c r="E349">
        <v>22</v>
      </c>
      <c r="F349">
        <v>1700</v>
      </c>
    </row>
    <row r="350" spans="1:6" x14ac:dyDescent="0.2">
      <c r="A350">
        <v>349</v>
      </c>
      <c r="B350" t="s">
        <v>346</v>
      </c>
      <c r="C350" t="s">
        <v>9</v>
      </c>
      <c r="D350" t="s">
        <v>21</v>
      </c>
      <c r="E350">
        <v>24</v>
      </c>
      <c r="F350">
        <v>1900</v>
      </c>
    </row>
    <row r="351" spans="1:6" x14ac:dyDescent="0.2">
      <c r="A351">
        <v>350</v>
      </c>
      <c r="B351" t="s">
        <v>345</v>
      </c>
      <c r="C351" t="s">
        <v>6</v>
      </c>
      <c r="D351">
        <v>6531</v>
      </c>
      <c r="E351">
        <v>22</v>
      </c>
      <c r="F351">
        <v>1900</v>
      </c>
    </row>
    <row r="352" spans="1:6" x14ac:dyDescent="0.2">
      <c r="A352">
        <v>351</v>
      </c>
      <c r="B352" t="s">
        <v>344</v>
      </c>
      <c r="C352" t="s">
        <v>9</v>
      </c>
      <c r="D352">
        <v>7692</v>
      </c>
      <c r="E352">
        <v>24</v>
      </c>
      <c r="F352">
        <v>1700</v>
      </c>
    </row>
    <row r="353" spans="1:6" x14ac:dyDescent="0.2">
      <c r="A353">
        <v>352</v>
      </c>
      <c r="B353" t="s">
        <v>343</v>
      </c>
      <c r="C353" t="s">
        <v>4</v>
      </c>
      <c r="D353">
        <v>8824</v>
      </c>
      <c r="E353">
        <v>22</v>
      </c>
      <c r="F353">
        <v>1900</v>
      </c>
    </row>
    <row r="354" spans="1:6" x14ac:dyDescent="0.2">
      <c r="A354">
        <v>353</v>
      </c>
      <c r="B354" t="s">
        <v>342</v>
      </c>
      <c r="C354" t="s">
        <v>6</v>
      </c>
      <c r="D354">
        <v>8733</v>
      </c>
      <c r="E354">
        <v>18</v>
      </c>
      <c r="F354">
        <v>1700</v>
      </c>
    </row>
    <row r="355" spans="1:6" x14ac:dyDescent="0.2">
      <c r="A355">
        <v>354</v>
      </c>
      <c r="B355" t="s">
        <v>341</v>
      </c>
      <c r="C355" t="s">
        <v>6</v>
      </c>
      <c r="D355">
        <v>9346</v>
      </c>
      <c r="E355">
        <v>21</v>
      </c>
      <c r="F355">
        <v>1700</v>
      </c>
    </row>
    <row r="356" spans="1:6" x14ac:dyDescent="0.2">
      <c r="A356">
        <v>355</v>
      </c>
      <c r="B356" t="s">
        <v>340</v>
      </c>
      <c r="C356" t="s">
        <v>9</v>
      </c>
      <c r="D356" t="s">
        <v>21</v>
      </c>
      <c r="E356">
        <v>16</v>
      </c>
      <c r="F356">
        <v>1700</v>
      </c>
    </row>
    <row r="357" spans="1:6" x14ac:dyDescent="0.2">
      <c r="A357">
        <v>356</v>
      </c>
      <c r="B357" t="s">
        <v>339</v>
      </c>
      <c r="C357" t="s">
        <v>4</v>
      </c>
      <c r="D357">
        <v>7867</v>
      </c>
      <c r="E357">
        <v>16</v>
      </c>
      <c r="F357">
        <v>1700</v>
      </c>
    </row>
    <row r="358" spans="1:6" x14ac:dyDescent="0.2">
      <c r="A358">
        <v>357</v>
      </c>
      <c r="B358" t="s">
        <v>338</v>
      </c>
      <c r="C358" t="s">
        <v>6</v>
      </c>
      <c r="D358">
        <v>6016</v>
      </c>
      <c r="E358">
        <v>16</v>
      </c>
      <c r="F358">
        <v>1700</v>
      </c>
    </row>
    <row r="359" spans="1:6" x14ac:dyDescent="0.2">
      <c r="A359">
        <v>358</v>
      </c>
      <c r="B359" t="s">
        <v>337</v>
      </c>
      <c r="C359" t="s">
        <v>10</v>
      </c>
      <c r="D359">
        <v>7193</v>
      </c>
      <c r="E359">
        <v>21</v>
      </c>
      <c r="F359">
        <v>1700</v>
      </c>
    </row>
    <row r="360" spans="1:6" x14ac:dyDescent="0.2">
      <c r="A360">
        <v>359</v>
      </c>
      <c r="B360" t="s">
        <v>336</v>
      </c>
      <c r="C360" t="s">
        <v>7</v>
      </c>
      <c r="D360">
        <v>8941</v>
      </c>
      <c r="E360">
        <v>20</v>
      </c>
      <c r="F360">
        <v>1900</v>
      </c>
    </row>
    <row r="361" spans="1:6" x14ac:dyDescent="0.2">
      <c r="A361">
        <v>360</v>
      </c>
      <c r="B361" t="s">
        <v>335</v>
      </c>
      <c r="C361" t="s">
        <v>6</v>
      </c>
      <c r="D361">
        <v>41466</v>
      </c>
      <c r="E361">
        <v>33</v>
      </c>
      <c r="F361">
        <v>2500</v>
      </c>
    </row>
    <row r="362" spans="1:6" x14ac:dyDescent="0.2">
      <c r="A362">
        <v>361</v>
      </c>
      <c r="B362" t="s">
        <v>334</v>
      </c>
      <c r="C362" t="s">
        <v>9</v>
      </c>
      <c r="D362">
        <v>8667</v>
      </c>
      <c r="E362">
        <v>26</v>
      </c>
      <c r="F362">
        <v>1700</v>
      </c>
    </row>
    <row r="363" spans="1:6" x14ac:dyDescent="0.2">
      <c r="A363">
        <v>362</v>
      </c>
      <c r="B363" t="s">
        <v>333</v>
      </c>
      <c r="C363" t="s">
        <v>10</v>
      </c>
      <c r="D363">
        <v>8195</v>
      </c>
      <c r="E363">
        <v>22</v>
      </c>
      <c r="F363">
        <v>1700</v>
      </c>
    </row>
    <row r="364" spans="1:6" x14ac:dyDescent="0.2">
      <c r="A364">
        <v>363</v>
      </c>
      <c r="B364" t="s">
        <v>332</v>
      </c>
      <c r="C364" t="s">
        <v>4</v>
      </c>
      <c r="D364">
        <v>9297</v>
      </c>
      <c r="E364">
        <v>19</v>
      </c>
      <c r="F364">
        <v>1900</v>
      </c>
    </row>
    <row r="365" spans="1:6" x14ac:dyDescent="0.2">
      <c r="A365">
        <v>364</v>
      </c>
      <c r="B365" t="s">
        <v>331</v>
      </c>
      <c r="C365" t="s">
        <v>6</v>
      </c>
      <c r="D365">
        <v>6080</v>
      </c>
      <c r="E365">
        <v>26</v>
      </c>
      <c r="F365">
        <v>1900</v>
      </c>
    </row>
    <row r="366" spans="1:6" x14ac:dyDescent="0.2">
      <c r="A366">
        <v>365</v>
      </c>
      <c r="B366" t="s">
        <v>330</v>
      </c>
      <c r="C366" t="s">
        <v>7</v>
      </c>
      <c r="D366">
        <v>8930</v>
      </c>
      <c r="E366">
        <v>17</v>
      </c>
      <c r="F366">
        <v>1900</v>
      </c>
    </row>
    <row r="367" spans="1:6" x14ac:dyDescent="0.2">
      <c r="A367">
        <v>366</v>
      </c>
      <c r="B367" t="s">
        <v>329</v>
      </c>
      <c r="C367" t="s">
        <v>9</v>
      </c>
      <c r="D367">
        <v>9405</v>
      </c>
      <c r="E367">
        <v>26</v>
      </c>
      <c r="F367">
        <v>1700</v>
      </c>
    </row>
    <row r="368" spans="1:6" x14ac:dyDescent="0.2">
      <c r="A368">
        <v>367</v>
      </c>
      <c r="B368" t="s">
        <v>328</v>
      </c>
      <c r="C368" t="s">
        <v>9</v>
      </c>
      <c r="D368">
        <v>9959</v>
      </c>
      <c r="E368">
        <v>25</v>
      </c>
      <c r="F368">
        <v>1700</v>
      </c>
    </row>
    <row r="369" spans="1:6" x14ac:dyDescent="0.2">
      <c r="A369">
        <v>368</v>
      </c>
      <c r="B369" t="s">
        <v>327</v>
      </c>
      <c r="C369" t="s">
        <v>8</v>
      </c>
      <c r="D369">
        <v>8427</v>
      </c>
      <c r="E369">
        <v>17</v>
      </c>
      <c r="F369">
        <v>1700</v>
      </c>
    </row>
    <row r="370" spans="1:6" x14ac:dyDescent="0.2">
      <c r="A370">
        <v>369</v>
      </c>
      <c r="B370" t="s">
        <v>326</v>
      </c>
      <c r="C370" t="s">
        <v>9</v>
      </c>
      <c r="D370">
        <v>8523</v>
      </c>
      <c r="E370">
        <v>19</v>
      </c>
      <c r="F370">
        <v>1700</v>
      </c>
    </row>
    <row r="371" spans="1:6" x14ac:dyDescent="0.2">
      <c r="A371">
        <v>370</v>
      </c>
      <c r="B371" t="s">
        <v>325</v>
      </c>
      <c r="C371" t="s">
        <v>9</v>
      </c>
      <c r="D371">
        <v>6254</v>
      </c>
      <c r="E371">
        <v>17</v>
      </c>
      <c r="F371">
        <v>1700</v>
      </c>
    </row>
    <row r="372" spans="1:6" x14ac:dyDescent="0.2">
      <c r="A372">
        <v>371</v>
      </c>
      <c r="B372" t="s">
        <v>324</v>
      </c>
      <c r="C372" t="s">
        <v>4</v>
      </c>
      <c r="D372">
        <v>8370</v>
      </c>
      <c r="E372">
        <v>23</v>
      </c>
      <c r="F372">
        <v>1900</v>
      </c>
    </row>
    <row r="373" spans="1:6" x14ac:dyDescent="0.2">
      <c r="A373">
        <v>372</v>
      </c>
      <c r="B373" t="s">
        <v>323</v>
      </c>
      <c r="C373" t="s">
        <v>9</v>
      </c>
      <c r="D373">
        <v>8110</v>
      </c>
      <c r="E373">
        <v>21</v>
      </c>
      <c r="F373">
        <v>1700</v>
      </c>
    </row>
    <row r="374" spans="1:6" x14ac:dyDescent="0.2">
      <c r="A374">
        <v>373</v>
      </c>
      <c r="B374" t="s">
        <v>322</v>
      </c>
      <c r="C374" t="s">
        <v>9</v>
      </c>
      <c r="D374">
        <v>11967</v>
      </c>
      <c r="E374">
        <v>34</v>
      </c>
      <c r="F374">
        <v>2700</v>
      </c>
    </row>
    <row r="375" spans="1:6" x14ac:dyDescent="0.2">
      <c r="A375">
        <v>374</v>
      </c>
      <c r="B375" t="s">
        <v>321</v>
      </c>
      <c r="C375" t="s">
        <v>4</v>
      </c>
      <c r="D375">
        <v>8651</v>
      </c>
      <c r="E375">
        <v>23</v>
      </c>
      <c r="F375">
        <v>1700</v>
      </c>
    </row>
    <row r="376" spans="1:6" x14ac:dyDescent="0.2">
      <c r="A376">
        <v>375</v>
      </c>
      <c r="B376" t="s">
        <v>320</v>
      </c>
      <c r="C376" t="s">
        <v>9</v>
      </c>
      <c r="D376">
        <v>7441</v>
      </c>
      <c r="E376">
        <v>21</v>
      </c>
      <c r="F376">
        <v>1900</v>
      </c>
    </row>
    <row r="377" spans="1:6" x14ac:dyDescent="0.2">
      <c r="A377">
        <v>376</v>
      </c>
      <c r="B377" t="s">
        <v>319</v>
      </c>
      <c r="C377" t="s">
        <v>4</v>
      </c>
      <c r="D377">
        <v>9395</v>
      </c>
      <c r="E377">
        <v>21</v>
      </c>
      <c r="F377">
        <v>1700</v>
      </c>
    </row>
    <row r="378" spans="1:6" x14ac:dyDescent="0.2">
      <c r="A378">
        <v>377</v>
      </c>
      <c r="B378" t="s">
        <v>318</v>
      </c>
      <c r="C378" t="s">
        <v>6</v>
      </c>
      <c r="D378">
        <v>35842</v>
      </c>
      <c r="E378">
        <v>39</v>
      </c>
      <c r="F378">
        <v>2700</v>
      </c>
    </row>
    <row r="379" spans="1:6" x14ac:dyDescent="0.2">
      <c r="A379">
        <v>378</v>
      </c>
      <c r="B379" t="s">
        <v>317</v>
      </c>
      <c r="C379" t="s">
        <v>9</v>
      </c>
      <c r="D379">
        <v>27982</v>
      </c>
      <c r="E379">
        <v>31</v>
      </c>
      <c r="F379">
        <v>2700</v>
      </c>
    </row>
    <row r="380" spans="1:6" x14ac:dyDescent="0.2">
      <c r="A380">
        <v>379</v>
      </c>
      <c r="B380" t="s">
        <v>316</v>
      </c>
      <c r="C380" t="s">
        <v>6</v>
      </c>
      <c r="D380">
        <v>6793</v>
      </c>
      <c r="E380">
        <v>25</v>
      </c>
      <c r="F380">
        <v>1700</v>
      </c>
    </row>
    <row r="381" spans="1:6" x14ac:dyDescent="0.2">
      <c r="A381">
        <v>380</v>
      </c>
      <c r="B381" t="s">
        <v>315</v>
      </c>
      <c r="C381" t="s">
        <v>10</v>
      </c>
      <c r="D381">
        <v>6633</v>
      </c>
      <c r="E381">
        <v>23</v>
      </c>
      <c r="F381">
        <v>1700</v>
      </c>
    </row>
    <row r="382" spans="1:6" x14ac:dyDescent="0.2">
      <c r="A382">
        <v>381</v>
      </c>
      <c r="B382" t="s">
        <v>314</v>
      </c>
      <c r="C382" t="s">
        <v>4</v>
      </c>
      <c r="D382">
        <v>6107</v>
      </c>
      <c r="E382">
        <v>21</v>
      </c>
      <c r="F382">
        <v>1700</v>
      </c>
    </row>
    <row r="383" spans="1:6" x14ac:dyDescent="0.2">
      <c r="A383">
        <v>382</v>
      </c>
      <c r="B383" t="s">
        <v>313</v>
      </c>
      <c r="C383" t="s">
        <v>4</v>
      </c>
      <c r="D383">
        <v>40204</v>
      </c>
      <c r="E383">
        <v>34</v>
      </c>
      <c r="F383">
        <v>2700</v>
      </c>
    </row>
    <row r="384" spans="1:6" x14ac:dyDescent="0.2">
      <c r="A384">
        <v>383</v>
      </c>
      <c r="B384" t="s">
        <v>312</v>
      </c>
      <c r="C384" t="s">
        <v>6</v>
      </c>
      <c r="D384">
        <v>8798</v>
      </c>
      <c r="E384">
        <v>26</v>
      </c>
      <c r="F384">
        <v>1700</v>
      </c>
    </row>
    <row r="385" spans="1:6" x14ac:dyDescent="0.2">
      <c r="A385">
        <v>384</v>
      </c>
      <c r="B385" t="s">
        <v>311</v>
      </c>
      <c r="C385" t="s">
        <v>6</v>
      </c>
      <c r="D385">
        <v>22047</v>
      </c>
      <c r="E385">
        <v>34</v>
      </c>
      <c r="F385">
        <v>2500</v>
      </c>
    </row>
    <row r="386" spans="1:6" x14ac:dyDescent="0.2">
      <c r="A386">
        <v>385</v>
      </c>
      <c r="B386" t="s">
        <v>310</v>
      </c>
      <c r="C386" t="s">
        <v>9</v>
      </c>
      <c r="D386" t="s">
        <v>21</v>
      </c>
      <c r="E386">
        <v>23</v>
      </c>
      <c r="F386">
        <v>1900</v>
      </c>
    </row>
    <row r="387" spans="1:6" x14ac:dyDescent="0.2">
      <c r="A387">
        <v>386</v>
      </c>
      <c r="B387" t="s">
        <v>309</v>
      </c>
      <c r="C387" t="s">
        <v>4</v>
      </c>
      <c r="D387">
        <v>8362</v>
      </c>
      <c r="E387">
        <v>18</v>
      </c>
      <c r="F387">
        <v>1700</v>
      </c>
    </row>
    <row r="388" spans="1:6" x14ac:dyDescent="0.2">
      <c r="A388">
        <v>387</v>
      </c>
      <c r="B388" t="s">
        <v>308</v>
      </c>
      <c r="C388" t="s">
        <v>4</v>
      </c>
      <c r="D388">
        <v>7119</v>
      </c>
      <c r="E388">
        <v>26</v>
      </c>
      <c r="F388">
        <v>1700</v>
      </c>
    </row>
    <row r="389" spans="1:6" x14ac:dyDescent="0.2">
      <c r="A389">
        <v>388</v>
      </c>
      <c r="B389" t="s">
        <v>307</v>
      </c>
      <c r="C389" t="s">
        <v>9</v>
      </c>
      <c r="D389">
        <v>7882</v>
      </c>
      <c r="E389">
        <v>26</v>
      </c>
      <c r="F389">
        <v>1700</v>
      </c>
    </row>
    <row r="390" spans="1:6" x14ac:dyDescent="0.2">
      <c r="A390">
        <v>389</v>
      </c>
      <c r="B390" t="s">
        <v>306</v>
      </c>
      <c r="C390" t="s">
        <v>9</v>
      </c>
      <c r="D390">
        <v>6433</v>
      </c>
      <c r="E390">
        <v>16</v>
      </c>
      <c r="F390">
        <v>1700</v>
      </c>
    </row>
    <row r="391" spans="1:6" x14ac:dyDescent="0.2">
      <c r="A391">
        <v>390</v>
      </c>
      <c r="B391" t="s">
        <v>305</v>
      </c>
      <c r="C391" t="s">
        <v>6</v>
      </c>
      <c r="D391">
        <v>9685</v>
      </c>
      <c r="E391">
        <v>20</v>
      </c>
      <c r="F391">
        <v>1700</v>
      </c>
    </row>
    <row r="392" spans="1:6" x14ac:dyDescent="0.2">
      <c r="A392">
        <v>391</v>
      </c>
      <c r="B392" t="s">
        <v>304</v>
      </c>
      <c r="C392" t="s">
        <v>10</v>
      </c>
      <c r="D392" t="s">
        <v>21</v>
      </c>
      <c r="E392">
        <v>25</v>
      </c>
      <c r="F392">
        <v>1900</v>
      </c>
    </row>
    <row r="393" spans="1:6" x14ac:dyDescent="0.2">
      <c r="A393">
        <v>392</v>
      </c>
      <c r="B393" t="s">
        <v>303</v>
      </c>
      <c r="C393" t="s">
        <v>7</v>
      </c>
      <c r="D393">
        <v>8279</v>
      </c>
      <c r="E393">
        <v>23</v>
      </c>
      <c r="F393">
        <v>1700</v>
      </c>
    </row>
    <row r="394" spans="1:6" x14ac:dyDescent="0.2">
      <c r="A394">
        <v>393</v>
      </c>
      <c r="B394" t="s">
        <v>302</v>
      </c>
      <c r="C394" t="s">
        <v>4</v>
      </c>
      <c r="D394">
        <v>9555</v>
      </c>
      <c r="E394">
        <v>16</v>
      </c>
      <c r="F394">
        <v>1700</v>
      </c>
    </row>
    <row r="395" spans="1:6" x14ac:dyDescent="0.2">
      <c r="A395">
        <v>394</v>
      </c>
      <c r="B395" t="s">
        <v>301</v>
      </c>
      <c r="C395" t="s">
        <v>10</v>
      </c>
      <c r="D395">
        <v>6908</v>
      </c>
      <c r="E395">
        <v>24</v>
      </c>
      <c r="F395">
        <v>1700</v>
      </c>
    </row>
    <row r="396" spans="1:6" x14ac:dyDescent="0.2">
      <c r="A396">
        <v>395</v>
      </c>
      <c r="B396" t="s">
        <v>300</v>
      </c>
      <c r="C396" t="s">
        <v>6</v>
      </c>
      <c r="D396">
        <v>9122</v>
      </c>
      <c r="E396">
        <v>16</v>
      </c>
      <c r="F396">
        <v>1900</v>
      </c>
    </row>
    <row r="397" spans="1:6" x14ac:dyDescent="0.2">
      <c r="A397">
        <v>396</v>
      </c>
      <c r="B397" t="s">
        <v>299</v>
      </c>
      <c r="C397" t="s">
        <v>6</v>
      </c>
      <c r="D397">
        <v>35760</v>
      </c>
      <c r="E397">
        <v>39</v>
      </c>
      <c r="F397">
        <v>2500</v>
      </c>
    </row>
    <row r="398" spans="1:6" x14ac:dyDescent="0.2">
      <c r="A398">
        <v>397</v>
      </c>
      <c r="B398" t="s">
        <v>298</v>
      </c>
      <c r="C398" t="s">
        <v>4</v>
      </c>
      <c r="D398">
        <v>25777</v>
      </c>
      <c r="E398">
        <v>35</v>
      </c>
      <c r="F398">
        <v>2700</v>
      </c>
    </row>
    <row r="399" spans="1:6" x14ac:dyDescent="0.2">
      <c r="A399">
        <v>398</v>
      </c>
      <c r="B399" t="s">
        <v>297</v>
      </c>
      <c r="C399" t="s">
        <v>6</v>
      </c>
      <c r="D399">
        <v>8004</v>
      </c>
      <c r="E399">
        <v>19</v>
      </c>
      <c r="F399">
        <v>1700</v>
      </c>
    </row>
    <row r="400" spans="1:6" x14ac:dyDescent="0.2">
      <c r="A400">
        <v>399</v>
      </c>
      <c r="B400" t="s">
        <v>296</v>
      </c>
      <c r="C400" t="s">
        <v>10</v>
      </c>
      <c r="D400">
        <v>6027</v>
      </c>
      <c r="E400">
        <v>26</v>
      </c>
      <c r="F400">
        <v>1700</v>
      </c>
    </row>
    <row r="401" spans="1:6" x14ac:dyDescent="0.2">
      <c r="A401">
        <v>400</v>
      </c>
      <c r="B401" t="s">
        <v>295</v>
      </c>
      <c r="C401" t="s">
        <v>9</v>
      </c>
      <c r="D401">
        <v>7409</v>
      </c>
      <c r="E401">
        <v>19</v>
      </c>
      <c r="F401">
        <v>1900</v>
      </c>
    </row>
    <row r="402" spans="1:6" x14ac:dyDescent="0.2">
      <c r="A402">
        <v>401</v>
      </c>
      <c r="B402" t="s">
        <v>294</v>
      </c>
      <c r="C402" t="s">
        <v>4</v>
      </c>
      <c r="D402">
        <v>7453</v>
      </c>
      <c r="E402">
        <v>26</v>
      </c>
      <c r="F402">
        <v>1700</v>
      </c>
    </row>
    <row r="403" spans="1:6" x14ac:dyDescent="0.2">
      <c r="A403">
        <v>402</v>
      </c>
      <c r="B403" t="s">
        <v>293</v>
      </c>
      <c r="C403" t="s">
        <v>10</v>
      </c>
      <c r="D403">
        <v>7006</v>
      </c>
      <c r="E403">
        <v>23</v>
      </c>
      <c r="F403">
        <v>1700</v>
      </c>
    </row>
    <row r="404" spans="1:6" x14ac:dyDescent="0.2">
      <c r="A404">
        <v>403</v>
      </c>
      <c r="B404" t="s">
        <v>292</v>
      </c>
      <c r="C404" t="s">
        <v>10</v>
      </c>
      <c r="D404">
        <v>6951</v>
      </c>
      <c r="E404">
        <v>23</v>
      </c>
      <c r="F404">
        <v>1700</v>
      </c>
    </row>
    <row r="405" spans="1:6" x14ac:dyDescent="0.2">
      <c r="A405">
        <v>404</v>
      </c>
      <c r="B405" t="s">
        <v>291</v>
      </c>
      <c r="C405" t="s">
        <v>4</v>
      </c>
      <c r="D405">
        <v>9112</v>
      </c>
      <c r="E405">
        <v>16</v>
      </c>
      <c r="F405">
        <v>1700</v>
      </c>
    </row>
    <row r="406" spans="1:6" x14ac:dyDescent="0.2">
      <c r="A406">
        <v>405</v>
      </c>
      <c r="B406" t="s">
        <v>290</v>
      </c>
      <c r="C406" t="s">
        <v>4</v>
      </c>
      <c r="D406">
        <v>40855</v>
      </c>
      <c r="E406">
        <v>35</v>
      </c>
      <c r="F406">
        <v>2500</v>
      </c>
    </row>
    <row r="407" spans="1:6" x14ac:dyDescent="0.2">
      <c r="A407">
        <v>406</v>
      </c>
      <c r="B407" t="s">
        <v>289</v>
      </c>
      <c r="C407" t="s">
        <v>7</v>
      </c>
      <c r="D407">
        <v>9977</v>
      </c>
      <c r="E407">
        <v>24</v>
      </c>
      <c r="F407">
        <v>1700</v>
      </c>
    </row>
    <row r="408" spans="1:6" x14ac:dyDescent="0.2">
      <c r="A408">
        <v>407</v>
      </c>
      <c r="B408" t="s">
        <v>288</v>
      </c>
      <c r="C408" t="s">
        <v>9</v>
      </c>
      <c r="D408">
        <v>7218</v>
      </c>
      <c r="E408">
        <v>24</v>
      </c>
      <c r="F408">
        <v>1700</v>
      </c>
    </row>
    <row r="409" spans="1:6" x14ac:dyDescent="0.2">
      <c r="A409">
        <v>408</v>
      </c>
      <c r="B409" t="s">
        <v>287</v>
      </c>
      <c r="C409" t="s">
        <v>6</v>
      </c>
      <c r="D409">
        <v>8345</v>
      </c>
      <c r="E409">
        <v>21</v>
      </c>
      <c r="F409">
        <v>1700</v>
      </c>
    </row>
    <row r="410" spans="1:6" x14ac:dyDescent="0.2">
      <c r="A410">
        <v>409</v>
      </c>
      <c r="B410" t="s">
        <v>286</v>
      </c>
      <c r="C410" t="s">
        <v>4</v>
      </c>
      <c r="D410">
        <v>46321</v>
      </c>
      <c r="E410">
        <v>32</v>
      </c>
      <c r="F410">
        <v>2500</v>
      </c>
    </row>
    <row r="411" spans="1:6" x14ac:dyDescent="0.2">
      <c r="A411">
        <v>410</v>
      </c>
      <c r="B411" t="s">
        <v>285</v>
      </c>
      <c r="C411" t="s">
        <v>9</v>
      </c>
      <c r="D411">
        <v>8751</v>
      </c>
      <c r="E411">
        <v>20</v>
      </c>
      <c r="F411">
        <v>1700</v>
      </c>
    </row>
    <row r="412" spans="1:6" x14ac:dyDescent="0.2">
      <c r="A412">
        <v>411</v>
      </c>
      <c r="B412" t="s">
        <v>284</v>
      </c>
      <c r="C412" t="s">
        <v>7</v>
      </c>
      <c r="D412" t="s">
        <v>21</v>
      </c>
      <c r="E412">
        <v>15</v>
      </c>
      <c r="F412">
        <v>1700</v>
      </c>
    </row>
    <row r="413" spans="1:6" x14ac:dyDescent="0.2">
      <c r="A413">
        <v>412</v>
      </c>
      <c r="B413" t="s">
        <v>283</v>
      </c>
      <c r="C413" t="s">
        <v>4</v>
      </c>
      <c r="D413">
        <v>7375</v>
      </c>
      <c r="E413">
        <v>23</v>
      </c>
      <c r="F413">
        <v>1700</v>
      </c>
    </row>
    <row r="414" spans="1:6" x14ac:dyDescent="0.2">
      <c r="A414">
        <v>413</v>
      </c>
      <c r="B414" t="s">
        <v>282</v>
      </c>
      <c r="C414" t="s">
        <v>4</v>
      </c>
      <c r="D414">
        <v>55743</v>
      </c>
      <c r="E414">
        <v>26</v>
      </c>
      <c r="F414">
        <v>2500</v>
      </c>
    </row>
    <row r="415" spans="1:6" x14ac:dyDescent="0.2">
      <c r="A415">
        <v>414</v>
      </c>
      <c r="B415" t="s">
        <v>281</v>
      </c>
      <c r="C415" t="s">
        <v>4</v>
      </c>
      <c r="D415">
        <v>7210</v>
      </c>
      <c r="E415">
        <v>20</v>
      </c>
      <c r="F415">
        <v>1700</v>
      </c>
    </row>
    <row r="416" spans="1:6" x14ac:dyDescent="0.2">
      <c r="A416">
        <v>415</v>
      </c>
      <c r="B416" t="s">
        <v>280</v>
      </c>
      <c r="C416" t="s">
        <v>4</v>
      </c>
      <c r="D416">
        <v>6900</v>
      </c>
      <c r="E416">
        <v>22</v>
      </c>
      <c r="F416">
        <v>1700</v>
      </c>
    </row>
    <row r="417" spans="1:6" x14ac:dyDescent="0.2">
      <c r="A417">
        <v>416</v>
      </c>
      <c r="B417" t="s">
        <v>279</v>
      </c>
      <c r="C417" t="s">
        <v>9</v>
      </c>
      <c r="D417" t="s">
        <v>21</v>
      </c>
      <c r="E417">
        <v>17</v>
      </c>
      <c r="F417">
        <v>1700</v>
      </c>
    </row>
    <row r="418" spans="1:6" x14ac:dyDescent="0.2">
      <c r="A418">
        <v>417</v>
      </c>
      <c r="B418" t="s">
        <v>278</v>
      </c>
      <c r="C418" t="s">
        <v>8</v>
      </c>
      <c r="D418">
        <v>30166</v>
      </c>
      <c r="E418">
        <v>38</v>
      </c>
      <c r="F418">
        <v>2500</v>
      </c>
    </row>
    <row r="419" spans="1:6" x14ac:dyDescent="0.2">
      <c r="A419">
        <v>418</v>
      </c>
      <c r="B419" t="s">
        <v>277</v>
      </c>
      <c r="C419" t="s">
        <v>9</v>
      </c>
      <c r="D419" t="s">
        <v>21</v>
      </c>
      <c r="E419">
        <v>20</v>
      </c>
      <c r="F419">
        <v>1700</v>
      </c>
    </row>
    <row r="420" spans="1:6" x14ac:dyDescent="0.2">
      <c r="A420">
        <v>419</v>
      </c>
      <c r="B420" t="s">
        <v>276</v>
      </c>
      <c r="C420" t="s">
        <v>6</v>
      </c>
      <c r="D420" t="s">
        <v>21</v>
      </c>
      <c r="E420">
        <v>37</v>
      </c>
      <c r="F420">
        <v>2500</v>
      </c>
    </row>
    <row r="421" spans="1:6" x14ac:dyDescent="0.2">
      <c r="A421">
        <v>420</v>
      </c>
      <c r="B421" t="s">
        <v>275</v>
      </c>
      <c r="C421" t="s">
        <v>6</v>
      </c>
      <c r="D421" t="s">
        <v>21</v>
      </c>
      <c r="E421">
        <v>25</v>
      </c>
      <c r="F421">
        <v>1900</v>
      </c>
    </row>
    <row r="422" spans="1:6" x14ac:dyDescent="0.2">
      <c r="A422">
        <v>421</v>
      </c>
      <c r="B422" t="s">
        <v>274</v>
      </c>
      <c r="C422" t="s">
        <v>9</v>
      </c>
      <c r="D422" t="s">
        <v>21</v>
      </c>
      <c r="E422">
        <v>18</v>
      </c>
      <c r="F422">
        <v>1900</v>
      </c>
    </row>
    <row r="423" spans="1:6" x14ac:dyDescent="0.2">
      <c r="A423">
        <v>422</v>
      </c>
      <c r="B423" t="s">
        <v>273</v>
      </c>
      <c r="C423" t="s">
        <v>4</v>
      </c>
      <c r="D423">
        <v>6064</v>
      </c>
      <c r="E423">
        <v>25</v>
      </c>
      <c r="F423">
        <v>1700</v>
      </c>
    </row>
    <row r="424" spans="1:6" x14ac:dyDescent="0.2">
      <c r="A424">
        <v>423</v>
      </c>
      <c r="B424" t="s">
        <v>272</v>
      </c>
      <c r="C424" t="s">
        <v>10</v>
      </c>
      <c r="D424">
        <v>9719</v>
      </c>
      <c r="E424">
        <v>19</v>
      </c>
      <c r="F424">
        <v>1700</v>
      </c>
    </row>
    <row r="425" spans="1:6" x14ac:dyDescent="0.2">
      <c r="A425">
        <v>424</v>
      </c>
      <c r="B425" t="s">
        <v>271</v>
      </c>
      <c r="C425" t="s">
        <v>9</v>
      </c>
      <c r="D425">
        <v>6332</v>
      </c>
      <c r="E425">
        <v>17</v>
      </c>
      <c r="F425">
        <v>1900</v>
      </c>
    </row>
    <row r="426" spans="1:6" x14ac:dyDescent="0.2">
      <c r="A426">
        <v>425</v>
      </c>
      <c r="B426" t="s">
        <v>270</v>
      </c>
      <c r="C426" t="s">
        <v>9</v>
      </c>
      <c r="D426">
        <v>22154</v>
      </c>
      <c r="E426">
        <v>39</v>
      </c>
      <c r="F426">
        <v>2700</v>
      </c>
    </row>
    <row r="427" spans="1:6" x14ac:dyDescent="0.2">
      <c r="A427">
        <v>426</v>
      </c>
      <c r="B427" t="s">
        <v>269</v>
      </c>
      <c r="C427" t="s">
        <v>4</v>
      </c>
      <c r="D427">
        <v>7744</v>
      </c>
      <c r="E427">
        <v>15</v>
      </c>
      <c r="F427">
        <v>1900</v>
      </c>
    </row>
    <row r="428" spans="1:6" x14ac:dyDescent="0.2">
      <c r="A428">
        <v>427</v>
      </c>
      <c r="B428" t="s">
        <v>268</v>
      </c>
      <c r="C428" t="s">
        <v>10</v>
      </c>
      <c r="D428">
        <v>8629</v>
      </c>
      <c r="E428">
        <v>17</v>
      </c>
      <c r="F428">
        <v>1700</v>
      </c>
    </row>
    <row r="429" spans="1:6" x14ac:dyDescent="0.2">
      <c r="A429">
        <v>428</v>
      </c>
      <c r="B429" t="s">
        <v>267</v>
      </c>
      <c r="C429" t="s">
        <v>4</v>
      </c>
      <c r="D429">
        <v>8324</v>
      </c>
      <c r="E429">
        <v>19</v>
      </c>
      <c r="F429">
        <v>1700</v>
      </c>
    </row>
    <row r="430" spans="1:6" x14ac:dyDescent="0.2">
      <c r="A430">
        <v>429</v>
      </c>
      <c r="B430" t="s">
        <v>266</v>
      </c>
      <c r="C430" t="s">
        <v>10</v>
      </c>
      <c r="D430">
        <v>9558</v>
      </c>
      <c r="E430">
        <v>26</v>
      </c>
      <c r="F430">
        <v>1700</v>
      </c>
    </row>
    <row r="431" spans="1:6" x14ac:dyDescent="0.2">
      <c r="A431">
        <v>430</v>
      </c>
      <c r="B431" t="s">
        <v>265</v>
      </c>
      <c r="C431" t="s">
        <v>9</v>
      </c>
      <c r="D431" t="s">
        <v>21</v>
      </c>
      <c r="E431">
        <v>22</v>
      </c>
      <c r="F431">
        <v>1700</v>
      </c>
    </row>
    <row r="432" spans="1:6" x14ac:dyDescent="0.2">
      <c r="A432">
        <v>431</v>
      </c>
      <c r="B432" t="s">
        <v>264</v>
      </c>
      <c r="C432" t="s">
        <v>9</v>
      </c>
      <c r="D432">
        <v>7416</v>
      </c>
      <c r="E432">
        <v>20</v>
      </c>
      <c r="F432">
        <v>1900</v>
      </c>
    </row>
    <row r="433" spans="1:6" x14ac:dyDescent="0.2">
      <c r="A433">
        <v>432</v>
      </c>
      <c r="B433" t="s">
        <v>263</v>
      </c>
      <c r="C433" t="s">
        <v>6</v>
      </c>
      <c r="D433">
        <v>6822</v>
      </c>
      <c r="E433">
        <v>24</v>
      </c>
      <c r="F433">
        <v>1900</v>
      </c>
    </row>
    <row r="434" spans="1:6" x14ac:dyDescent="0.2">
      <c r="A434">
        <v>433</v>
      </c>
      <c r="B434" t="s">
        <v>262</v>
      </c>
      <c r="C434" t="s">
        <v>6</v>
      </c>
      <c r="D434">
        <v>15462</v>
      </c>
      <c r="E434">
        <v>34</v>
      </c>
      <c r="F434">
        <v>2700</v>
      </c>
    </row>
    <row r="435" spans="1:6" x14ac:dyDescent="0.2">
      <c r="A435">
        <v>434</v>
      </c>
      <c r="B435" t="s">
        <v>261</v>
      </c>
      <c r="C435" t="s">
        <v>9</v>
      </c>
      <c r="D435">
        <v>8013</v>
      </c>
      <c r="E435">
        <v>21</v>
      </c>
      <c r="F435">
        <v>1700</v>
      </c>
    </row>
    <row r="436" spans="1:6" x14ac:dyDescent="0.2">
      <c r="A436">
        <v>435</v>
      </c>
      <c r="B436" t="s">
        <v>260</v>
      </c>
      <c r="C436" t="s">
        <v>9</v>
      </c>
      <c r="D436">
        <v>9427</v>
      </c>
      <c r="E436">
        <v>16</v>
      </c>
      <c r="F436">
        <v>1700</v>
      </c>
    </row>
    <row r="437" spans="1:6" x14ac:dyDescent="0.2">
      <c r="A437">
        <v>436</v>
      </c>
      <c r="B437" t="s">
        <v>259</v>
      </c>
      <c r="C437" t="s">
        <v>9</v>
      </c>
      <c r="D437">
        <v>35080</v>
      </c>
      <c r="E437">
        <v>31</v>
      </c>
      <c r="F437">
        <v>2700</v>
      </c>
    </row>
    <row r="438" spans="1:6" x14ac:dyDescent="0.2">
      <c r="A438">
        <v>437</v>
      </c>
      <c r="B438" t="s">
        <v>258</v>
      </c>
      <c r="C438" t="s">
        <v>4</v>
      </c>
      <c r="D438">
        <v>37192</v>
      </c>
      <c r="E438">
        <v>38</v>
      </c>
      <c r="F438">
        <v>2700</v>
      </c>
    </row>
    <row r="439" spans="1:6" x14ac:dyDescent="0.2">
      <c r="A439">
        <v>438</v>
      </c>
      <c r="B439" t="s">
        <v>257</v>
      </c>
      <c r="C439" t="s">
        <v>4</v>
      </c>
      <c r="D439">
        <v>7566</v>
      </c>
      <c r="E439">
        <v>25</v>
      </c>
      <c r="F439">
        <v>1700</v>
      </c>
    </row>
    <row r="440" spans="1:6" x14ac:dyDescent="0.2">
      <c r="A440">
        <v>439</v>
      </c>
      <c r="B440" t="s">
        <v>256</v>
      </c>
      <c r="C440" t="s">
        <v>4</v>
      </c>
      <c r="D440">
        <v>7130</v>
      </c>
      <c r="E440">
        <v>20</v>
      </c>
      <c r="F440">
        <v>1700</v>
      </c>
    </row>
    <row r="441" spans="1:6" x14ac:dyDescent="0.2">
      <c r="A441">
        <v>440</v>
      </c>
      <c r="B441" t="s">
        <v>255</v>
      </c>
      <c r="C441" t="s">
        <v>9</v>
      </c>
      <c r="D441">
        <v>7928</v>
      </c>
      <c r="E441">
        <v>23</v>
      </c>
      <c r="F441">
        <v>1700</v>
      </c>
    </row>
    <row r="442" spans="1:6" x14ac:dyDescent="0.2">
      <c r="A442">
        <v>441</v>
      </c>
      <c r="B442" t="s">
        <v>254</v>
      </c>
      <c r="C442" t="s">
        <v>9</v>
      </c>
      <c r="D442">
        <v>8581</v>
      </c>
      <c r="E442">
        <v>19</v>
      </c>
      <c r="F442">
        <v>1900</v>
      </c>
    </row>
    <row r="443" spans="1:6" x14ac:dyDescent="0.2">
      <c r="A443">
        <v>442</v>
      </c>
      <c r="B443" t="s">
        <v>253</v>
      </c>
      <c r="C443" t="s">
        <v>10</v>
      </c>
      <c r="D443">
        <v>8908</v>
      </c>
      <c r="E443">
        <v>25</v>
      </c>
      <c r="F443">
        <v>1700</v>
      </c>
    </row>
    <row r="444" spans="1:6" x14ac:dyDescent="0.2">
      <c r="A444">
        <v>443</v>
      </c>
      <c r="B444" t="s">
        <v>252</v>
      </c>
      <c r="C444" t="s">
        <v>9</v>
      </c>
      <c r="D444">
        <v>6575</v>
      </c>
      <c r="E444">
        <v>26</v>
      </c>
      <c r="F444">
        <v>1700</v>
      </c>
    </row>
    <row r="445" spans="1:6" x14ac:dyDescent="0.2">
      <c r="A445">
        <v>444</v>
      </c>
      <c r="B445" t="s">
        <v>251</v>
      </c>
      <c r="C445" t="s">
        <v>7</v>
      </c>
      <c r="D445">
        <v>6366</v>
      </c>
      <c r="E445">
        <v>21</v>
      </c>
      <c r="F445">
        <v>1700</v>
      </c>
    </row>
    <row r="446" spans="1:6" x14ac:dyDescent="0.2">
      <c r="A446">
        <v>445</v>
      </c>
      <c r="B446" t="s">
        <v>250</v>
      </c>
      <c r="C446" t="s">
        <v>10</v>
      </c>
      <c r="D446" t="s">
        <v>21</v>
      </c>
      <c r="E446">
        <v>21</v>
      </c>
      <c r="F446">
        <v>1900</v>
      </c>
    </row>
    <row r="447" spans="1:6" x14ac:dyDescent="0.2">
      <c r="A447">
        <v>446</v>
      </c>
      <c r="B447" t="s">
        <v>249</v>
      </c>
      <c r="C447" t="s">
        <v>10</v>
      </c>
      <c r="D447">
        <v>9212</v>
      </c>
      <c r="E447">
        <v>24</v>
      </c>
      <c r="F447">
        <v>1700</v>
      </c>
    </row>
    <row r="448" spans="1:6" x14ac:dyDescent="0.2">
      <c r="A448">
        <v>447</v>
      </c>
      <c r="B448" t="s">
        <v>248</v>
      </c>
      <c r="C448" t="s">
        <v>6</v>
      </c>
      <c r="D448">
        <v>9770</v>
      </c>
      <c r="E448">
        <v>15</v>
      </c>
      <c r="F448">
        <v>1900</v>
      </c>
    </row>
    <row r="449" spans="1:6" x14ac:dyDescent="0.2">
      <c r="A449">
        <v>448</v>
      </c>
      <c r="B449" t="s">
        <v>247</v>
      </c>
      <c r="C449" t="s">
        <v>7</v>
      </c>
      <c r="D449" t="s">
        <v>21</v>
      </c>
      <c r="E449">
        <v>23</v>
      </c>
      <c r="F449">
        <v>1700</v>
      </c>
    </row>
    <row r="450" spans="1:6" x14ac:dyDescent="0.2">
      <c r="A450">
        <v>449</v>
      </c>
      <c r="B450" t="s">
        <v>246</v>
      </c>
      <c r="C450" t="s">
        <v>4</v>
      </c>
      <c r="D450">
        <v>15085</v>
      </c>
      <c r="E450">
        <v>31</v>
      </c>
      <c r="F450">
        <v>2500</v>
      </c>
    </row>
    <row r="451" spans="1:6" x14ac:dyDescent="0.2">
      <c r="A451">
        <v>450</v>
      </c>
      <c r="B451" t="s">
        <v>245</v>
      </c>
      <c r="C451" t="s">
        <v>9</v>
      </c>
      <c r="D451">
        <v>30931</v>
      </c>
      <c r="E451">
        <v>30</v>
      </c>
      <c r="F451">
        <v>2500</v>
      </c>
    </row>
    <row r="452" spans="1:6" x14ac:dyDescent="0.2">
      <c r="A452">
        <v>451</v>
      </c>
      <c r="B452" t="s">
        <v>244</v>
      </c>
      <c r="C452" t="s">
        <v>9</v>
      </c>
      <c r="D452">
        <v>8502</v>
      </c>
      <c r="E452">
        <v>15</v>
      </c>
      <c r="F452">
        <v>1700</v>
      </c>
    </row>
    <row r="453" spans="1:6" x14ac:dyDescent="0.2">
      <c r="A453">
        <v>452</v>
      </c>
      <c r="B453" t="s">
        <v>243</v>
      </c>
      <c r="C453" t="s">
        <v>6</v>
      </c>
      <c r="D453">
        <v>6300</v>
      </c>
      <c r="E453">
        <v>22</v>
      </c>
      <c r="F453">
        <v>1900</v>
      </c>
    </row>
    <row r="454" spans="1:6" x14ac:dyDescent="0.2">
      <c r="A454">
        <v>453</v>
      </c>
      <c r="B454" t="s">
        <v>242</v>
      </c>
      <c r="C454" t="s">
        <v>4</v>
      </c>
      <c r="D454">
        <v>8402</v>
      </c>
      <c r="E454">
        <v>22</v>
      </c>
      <c r="F454">
        <v>1700</v>
      </c>
    </row>
    <row r="455" spans="1:6" x14ac:dyDescent="0.2">
      <c r="A455">
        <v>454</v>
      </c>
      <c r="B455" t="s">
        <v>241</v>
      </c>
      <c r="C455" t="s">
        <v>10</v>
      </c>
      <c r="D455">
        <v>23146</v>
      </c>
      <c r="E455">
        <v>35</v>
      </c>
      <c r="F455">
        <v>2500</v>
      </c>
    </row>
    <row r="456" spans="1:6" x14ac:dyDescent="0.2">
      <c r="A456">
        <v>455</v>
      </c>
      <c r="B456" t="s">
        <v>240</v>
      </c>
      <c r="C456" t="s">
        <v>9</v>
      </c>
      <c r="D456">
        <v>6482</v>
      </c>
      <c r="E456">
        <v>21</v>
      </c>
      <c r="F456">
        <v>1700</v>
      </c>
    </row>
    <row r="457" spans="1:6" x14ac:dyDescent="0.2">
      <c r="A457">
        <v>456</v>
      </c>
      <c r="B457" t="s">
        <v>239</v>
      </c>
      <c r="C457" t="s">
        <v>6</v>
      </c>
      <c r="D457">
        <v>6289</v>
      </c>
      <c r="E457">
        <v>19</v>
      </c>
      <c r="F457">
        <v>1700</v>
      </c>
    </row>
    <row r="458" spans="1:6" x14ac:dyDescent="0.2">
      <c r="A458">
        <v>457</v>
      </c>
      <c r="B458" t="s">
        <v>238</v>
      </c>
      <c r="C458" t="s">
        <v>6</v>
      </c>
      <c r="D458">
        <v>7498</v>
      </c>
      <c r="E458">
        <v>24</v>
      </c>
      <c r="F458">
        <v>1900</v>
      </c>
    </row>
    <row r="459" spans="1:6" x14ac:dyDescent="0.2">
      <c r="A459">
        <v>458</v>
      </c>
      <c r="B459" t="s">
        <v>237</v>
      </c>
      <c r="C459" t="s">
        <v>9</v>
      </c>
      <c r="D459">
        <v>56970</v>
      </c>
      <c r="E459">
        <v>37</v>
      </c>
      <c r="F459">
        <v>2500</v>
      </c>
    </row>
    <row r="460" spans="1:6" x14ac:dyDescent="0.2">
      <c r="A460">
        <v>459</v>
      </c>
      <c r="B460" t="s">
        <v>236</v>
      </c>
      <c r="C460" t="s">
        <v>6</v>
      </c>
      <c r="D460" t="s">
        <v>21</v>
      </c>
      <c r="E460">
        <v>23</v>
      </c>
      <c r="F460">
        <v>1700</v>
      </c>
    </row>
    <row r="461" spans="1:6" x14ac:dyDescent="0.2">
      <c r="A461">
        <v>460</v>
      </c>
      <c r="B461" t="s">
        <v>235</v>
      </c>
      <c r="C461" t="s">
        <v>9</v>
      </c>
      <c r="D461" t="s">
        <v>21</v>
      </c>
      <c r="E461">
        <v>16</v>
      </c>
      <c r="F461">
        <v>1700</v>
      </c>
    </row>
    <row r="462" spans="1:6" x14ac:dyDescent="0.2">
      <c r="A462">
        <v>461</v>
      </c>
      <c r="B462" t="s">
        <v>234</v>
      </c>
      <c r="C462" t="s">
        <v>4</v>
      </c>
      <c r="D462" t="s">
        <v>21</v>
      </c>
      <c r="E462">
        <v>22</v>
      </c>
      <c r="F462">
        <v>1700</v>
      </c>
    </row>
    <row r="463" spans="1:6" x14ac:dyDescent="0.2">
      <c r="A463">
        <v>462</v>
      </c>
      <c r="B463" t="s">
        <v>233</v>
      </c>
      <c r="C463" t="s">
        <v>8</v>
      </c>
      <c r="D463">
        <v>51777</v>
      </c>
      <c r="E463">
        <v>35</v>
      </c>
      <c r="F463">
        <v>2500</v>
      </c>
    </row>
    <row r="464" spans="1:6" x14ac:dyDescent="0.2">
      <c r="A464">
        <v>463</v>
      </c>
      <c r="B464" t="s">
        <v>232</v>
      </c>
      <c r="C464" t="s">
        <v>9</v>
      </c>
      <c r="D464">
        <v>7100</v>
      </c>
      <c r="E464">
        <v>21</v>
      </c>
      <c r="F464">
        <v>1700</v>
      </c>
    </row>
    <row r="465" spans="1:6" x14ac:dyDescent="0.2">
      <c r="A465">
        <v>464</v>
      </c>
      <c r="B465" t="s">
        <v>231</v>
      </c>
      <c r="C465" t="s">
        <v>7</v>
      </c>
      <c r="D465">
        <v>19076</v>
      </c>
      <c r="E465">
        <v>39</v>
      </c>
      <c r="F465">
        <v>2700</v>
      </c>
    </row>
    <row r="466" spans="1:6" x14ac:dyDescent="0.2">
      <c r="A466">
        <v>465</v>
      </c>
      <c r="B466" t="s">
        <v>230</v>
      </c>
      <c r="C466" t="s">
        <v>4</v>
      </c>
      <c r="D466">
        <v>8347</v>
      </c>
      <c r="E466">
        <v>16</v>
      </c>
      <c r="F466">
        <v>1700</v>
      </c>
    </row>
    <row r="467" spans="1:6" x14ac:dyDescent="0.2">
      <c r="A467">
        <v>466</v>
      </c>
      <c r="B467" t="s">
        <v>229</v>
      </c>
      <c r="C467" t="s">
        <v>4</v>
      </c>
      <c r="D467">
        <v>8737</v>
      </c>
      <c r="E467">
        <v>15</v>
      </c>
      <c r="F467">
        <v>1700</v>
      </c>
    </row>
    <row r="468" spans="1:6" x14ac:dyDescent="0.2">
      <c r="A468">
        <v>467</v>
      </c>
      <c r="B468" t="s">
        <v>228</v>
      </c>
      <c r="C468" t="s">
        <v>3</v>
      </c>
      <c r="D468">
        <v>8667</v>
      </c>
      <c r="E468">
        <v>15</v>
      </c>
      <c r="F468">
        <v>1700</v>
      </c>
    </row>
    <row r="469" spans="1:6" x14ac:dyDescent="0.2">
      <c r="A469">
        <v>468</v>
      </c>
      <c r="B469" t="s">
        <v>227</v>
      </c>
      <c r="C469" t="s">
        <v>6</v>
      </c>
      <c r="D469">
        <v>8772</v>
      </c>
      <c r="E469">
        <v>16</v>
      </c>
      <c r="F469">
        <v>1700</v>
      </c>
    </row>
    <row r="470" spans="1:6" x14ac:dyDescent="0.2">
      <c r="A470">
        <v>469</v>
      </c>
      <c r="B470" t="s">
        <v>226</v>
      </c>
      <c r="C470" t="s">
        <v>10</v>
      </c>
      <c r="D470">
        <v>17599</v>
      </c>
      <c r="E470">
        <v>34</v>
      </c>
      <c r="F470">
        <v>2500</v>
      </c>
    </row>
    <row r="471" spans="1:6" x14ac:dyDescent="0.2">
      <c r="A471">
        <v>470</v>
      </c>
      <c r="B471" t="s">
        <v>225</v>
      </c>
      <c r="C471" t="s">
        <v>4</v>
      </c>
      <c r="D471">
        <v>9832</v>
      </c>
      <c r="E471">
        <v>17</v>
      </c>
      <c r="F471">
        <v>1700</v>
      </c>
    </row>
    <row r="472" spans="1:6" x14ac:dyDescent="0.2">
      <c r="A472">
        <v>471</v>
      </c>
      <c r="B472" t="s">
        <v>224</v>
      </c>
      <c r="C472" t="s">
        <v>10</v>
      </c>
      <c r="D472">
        <v>9637</v>
      </c>
      <c r="E472">
        <v>19</v>
      </c>
      <c r="F472">
        <v>1700</v>
      </c>
    </row>
    <row r="473" spans="1:6" x14ac:dyDescent="0.2">
      <c r="A473">
        <v>472</v>
      </c>
      <c r="B473" t="s">
        <v>223</v>
      </c>
      <c r="C473" t="s">
        <v>6</v>
      </c>
      <c r="D473">
        <v>7097</v>
      </c>
      <c r="E473">
        <v>25</v>
      </c>
      <c r="F473">
        <v>1700</v>
      </c>
    </row>
    <row r="474" spans="1:6" x14ac:dyDescent="0.2">
      <c r="A474">
        <v>473</v>
      </c>
      <c r="B474" t="s">
        <v>222</v>
      </c>
      <c r="C474" t="s">
        <v>6</v>
      </c>
      <c r="D474" t="s">
        <v>21</v>
      </c>
      <c r="E474">
        <v>38</v>
      </c>
      <c r="F474">
        <v>2500</v>
      </c>
    </row>
    <row r="475" spans="1:6" x14ac:dyDescent="0.2">
      <c r="A475">
        <v>474</v>
      </c>
      <c r="B475" t="s">
        <v>221</v>
      </c>
      <c r="C475" t="s">
        <v>9</v>
      </c>
      <c r="D475">
        <v>8293</v>
      </c>
      <c r="E475">
        <v>20</v>
      </c>
      <c r="F475">
        <v>1700</v>
      </c>
    </row>
    <row r="476" spans="1:6" x14ac:dyDescent="0.2">
      <c r="A476">
        <v>475</v>
      </c>
      <c r="B476" t="s">
        <v>220</v>
      </c>
      <c r="C476" t="s">
        <v>10</v>
      </c>
      <c r="D476">
        <v>8744</v>
      </c>
      <c r="E476">
        <v>25</v>
      </c>
      <c r="F476">
        <v>1700</v>
      </c>
    </row>
    <row r="477" spans="1:6" x14ac:dyDescent="0.2">
      <c r="A477">
        <v>476</v>
      </c>
      <c r="B477" t="s">
        <v>219</v>
      </c>
      <c r="C477" t="s">
        <v>7</v>
      </c>
      <c r="D477">
        <v>7937</v>
      </c>
      <c r="E477">
        <v>25</v>
      </c>
      <c r="F477">
        <v>1700</v>
      </c>
    </row>
    <row r="478" spans="1:6" x14ac:dyDescent="0.2">
      <c r="A478">
        <v>477</v>
      </c>
      <c r="B478" t="s">
        <v>218</v>
      </c>
      <c r="C478" t="s">
        <v>6</v>
      </c>
      <c r="D478">
        <v>6488</v>
      </c>
      <c r="E478">
        <v>17</v>
      </c>
      <c r="F478">
        <v>1700</v>
      </c>
    </row>
    <row r="479" spans="1:6" x14ac:dyDescent="0.2">
      <c r="A479">
        <v>478</v>
      </c>
      <c r="B479" t="s">
        <v>217</v>
      </c>
      <c r="C479" t="s">
        <v>9</v>
      </c>
      <c r="D479">
        <v>8335</v>
      </c>
      <c r="E479">
        <v>15</v>
      </c>
      <c r="F479">
        <v>1700</v>
      </c>
    </row>
    <row r="480" spans="1:6" x14ac:dyDescent="0.2">
      <c r="A480">
        <v>479</v>
      </c>
      <c r="B480" t="s">
        <v>216</v>
      </c>
      <c r="C480" t="s">
        <v>6</v>
      </c>
      <c r="D480">
        <v>10346</v>
      </c>
      <c r="E480">
        <v>25</v>
      </c>
      <c r="F480">
        <v>2500</v>
      </c>
    </row>
    <row r="481" spans="1:6" x14ac:dyDescent="0.2">
      <c r="A481">
        <v>480</v>
      </c>
      <c r="B481" t="s">
        <v>215</v>
      </c>
      <c r="C481" t="s">
        <v>10</v>
      </c>
      <c r="D481">
        <v>8736</v>
      </c>
      <c r="E481">
        <v>18</v>
      </c>
      <c r="F481">
        <v>1700</v>
      </c>
    </row>
    <row r="482" spans="1:6" x14ac:dyDescent="0.2">
      <c r="A482">
        <v>481</v>
      </c>
      <c r="B482" t="s">
        <v>214</v>
      </c>
      <c r="C482" t="s">
        <v>7</v>
      </c>
      <c r="D482">
        <v>29988</v>
      </c>
      <c r="E482">
        <v>25</v>
      </c>
      <c r="F482">
        <v>2500</v>
      </c>
    </row>
    <row r="483" spans="1:6" x14ac:dyDescent="0.2">
      <c r="A483">
        <v>482</v>
      </c>
      <c r="B483" t="s">
        <v>213</v>
      </c>
      <c r="C483" t="s">
        <v>8</v>
      </c>
      <c r="D483">
        <v>9167</v>
      </c>
      <c r="E483">
        <v>26</v>
      </c>
      <c r="F483">
        <v>1900</v>
      </c>
    </row>
    <row r="484" spans="1:6" x14ac:dyDescent="0.2">
      <c r="A484">
        <v>483</v>
      </c>
      <c r="B484" t="s">
        <v>212</v>
      </c>
      <c r="C484" t="s">
        <v>4</v>
      </c>
      <c r="D484">
        <v>6973</v>
      </c>
      <c r="E484">
        <v>19</v>
      </c>
      <c r="F484">
        <v>1900</v>
      </c>
    </row>
    <row r="485" spans="1:6" x14ac:dyDescent="0.2">
      <c r="A485">
        <v>484</v>
      </c>
      <c r="B485" t="s">
        <v>211</v>
      </c>
      <c r="C485" t="s">
        <v>9</v>
      </c>
      <c r="D485" t="s">
        <v>21</v>
      </c>
      <c r="E485">
        <v>24</v>
      </c>
      <c r="F485">
        <v>1700</v>
      </c>
    </row>
    <row r="486" spans="1:6" x14ac:dyDescent="0.2">
      <c r="A486">
        <v>485</v>
      </c>
      <c r="B486" t="s">
        <v>210</v>
      </c>
      <c r="C486" t="s">
        <v>10</v>
      </c>
      <c r="D486">
        <v>7266</v>
      </c>
      <c r="E486">
        <v>22</v>
      </c>
      <c r="F486">
        <v>1900</v>
      </c>
    </row>
    <row r="487" spans="1:6" x14ac:dyDescent="0.2">
      <c r="A487">
        <v>486</v>
      </c>
      <c r="B487" t="s">
        <v>209</v>
      </c>
      <c r="C487" t="s">
        <v>9</v>
      </c>
      <c r="D487">
        <v>6096</v>
      </c>
      <c r="E487">
        <v>24</v>
      </c>
      <c r="F487">
        <v>1700</v>
      </c>
    </row>
    <row r="488" spans="1:6" x14ac:dyDescent="0.2">
      <c r="A488">
        <v>487</v>
      </c>
      <c r="B488" t="s">
        <v>208</v>
      </c>
      <c r="C488" t="s">
        <v>6</v>
      </c>
      <c r="D488">
        <v>6353</v>
      </c>
      <c r="E488">
        <v>23</v>
      </c>
      <c r="F488">
        <v>1900</v>
      </c>
    </row>
    <row r="489" spans="1:6" x14ac:dyDescent="0.2">
      <c r="A489">
        <v>488</v>
      </c>
      <c r="B489" t="s">
        <v>207</v>
      </c>
      <c r="C489" t="s">
        <v>9</v>
      </c>
      <c r="D489">
        <v>9812</v>
      </c>
      <c r="E489">
        <v>18</v>
      </c>
      <c r="F489">
        <v>1700</v>
      </c>
    </row>
    <row r="490" spans="1:6" x14ac:dyDescent="0.2">
      <c r="A490">
        <v>489</v>
      </c>
      <c r="B490" t="s">
        <v>206</v>
      </c>
      <c r="C490" t="s">
        <v>6</v>
      </c>
      <c r="D490" t="s">
        <v>21</v>
      </c>
      <c r="E490">
        <v>20</v>
      </c>
      <c r="F490">
        <v>1700</v>
      </c>
    </row>
    <row r="491" spans="1:6" x14ac:dyDescent="0.2">
      <c r="A491">
        <v>490</v>
      </c>
      <c r="B491" t="s">
        <v>205</v>
      </c>
      <c r="C491" t="s">
        <v>9</v>
      </c>
      <c r="D491">
        <v>9729</v>
      </c>
      <c r="E491">
        <v>20</v>
      </c>
      <c r="F491">
        <v>1700</v>
      </c>
    </row>
    <row r="492" spans="1:6" x14ac:dyDescent="0.2">
      <c r="A492">
        <v>491</v>
      </c>
      <c r="B492" t="s">
        <v>204</v>
      </c>
      <c r="C492" t="s">
        <v>9</v>
      </c>
      <c r="D492">
        <v>6535</v>
      </c>
      <c r="E492">
        <v>23</v>
      </c>
      <c r="F492">
        <v>1700</v>
      </c>
    </row>
    <row r="493" spans="1:6" x14ac:dyDescent="0.2">
      <c r="A493">
        <v>492</v>
      </c>
      <c r="B493" t="s">
        <v>203</v>
      </c>
      <c r="C493" t="s">
        <v>6</v>
      </c>
      <c r="D493">
        <v>7594</v>
      </c>
      <c r="E493">
        <v>16</v>
      </c>
      <c r="F493">
        <v>1700</v>
      </c>
    </row>
    <row r="494" spans="1:6" x14ac:dyDescent="0.2">
      <c r="A494">
        <v>493</v>
      </c>
      <c r="B494" t="s">
        <v>202</v>
      </c>
      <c r="C494" t="s">
        <v>4</v>
      </c>
      <c r="D494">
        <v>33503</v>
      </c>
      <c r="E494">
        <v>38</v>
      </c>
      <c r="F494">
        <v>2500</v>
      </c>
    </row>
    <row r="495" spans="1:6" x14ac:dyDescent="0.2">
      <c r="A495">
        <v>494</v>
      </c>
      <c r="B495" t="s">
        <v>201</v>
      </c>
      <c r="C495" t="s">
        <v>10</v>
      </c>
      <c r="D495" t="s">
        <v>21</v>
      </c>
      <c r="E495">
        <v>29</v>
      </c>
      <c r="F495">
        <v>2700</v>
      </c>
    </row>
    <row r="496" spans="1:6" x14ac:dyDescent="0.2">
      <c r="A496">
        <v>495</v>
      </c>
      <c r="B496" t="s">
        <v>200</v>
      </c>
      <c r="C496" t="s">
        <v>9</v>
      </c>
      <c r="D496">
        <v>8144</v>
      </c>
      <c r="E496">
        <v>21</v>
      </c>
      <c r="F496">
        <v>1900</v>
      </c>
    </row>
    <row r="497" spans="1:6" x14ac:dyDescent="0.2">
      <c r="A497">
        <v>496</v>
      </c>
      <c r="B497" t="s">
        <v>199</v>
      </c>
      <c r="C497" t="s">
        <v>9</v>
      </c>
      <c r="D497">
        <v>18196</v>
      </c>
      <c r="E497">
        <v>30</v>
      </c>
      <c r="F497">
        <v>2700</v>
      </c>
    </row>
    <row r="498" spans="1:6" x14ac:dyDescent="0.2">
      <c r="A498">
        <v>497</v>
      </c>
      <c r="B498" t="s">
        <v>198</v>
      </c>
      <c r="C498" t="s">
        <v>4</v>
      </c>
      <c r="D498">
        <v>6454</v>
      </c>
      <c r="E498">
        <v>20</v>
      </c>
      <c r="F498">
        <v>1700</v>
      </c>
    </row>
    <row r="499" spans="1:6" x14ac:dyDescent="0.2">
      <c r="A499">
        <v>498</v>
      </c>
      <c r="B499" t="s">
        <v>197</v>
      </c>
      <c r="C499" t="s">
        <v>9</v>
      </c>
      <c r="D499">
        <v>7636</v>
      </c>
      <c r="E499">
        <v>20</v>
      </c>
      <c r="F499">
        <v>1700</v>
      </c>
    </row>
    <row r="500" spans="1:6" x14ac:dyDescent="0.2">
      <c r="A500">
        <v>499</v>
      </c>
      <c r="B500" t="s">
        <v>196</v>
      </c>
      <c r="C500" t="s">
        <v>9</v>
      </c>
      <c r="D500">
        <v>6022</v>
      </c>
      <c r="E500">
        <v>17</v>
      </c>
      <c r="F500">
        <v>1700</v>
      </c>
    </row>
    <row r="501" spans="1:6" x14ac:dyDescent="0.2">
      <c r="A501">
        <v>500</v>
      </c>
      <c r="B501" t="s">
        <v>195</v>
      </c>
      <c r="C501" t="s">
        <v>9</v>
      </c>
      <c r="D501">
        <v>9647</v>
      </c>
      <c r="E501">
        <v>16</v>
      </c>
      <c r="F501">
        <v>1900</v>
      </c>
    </row>
    <row r="502" spans="1:6" x14ac:dyDescent="0.2">
      <c r="A502">
        <v>501</v>
      </c>
      <c r="B502" t="s">
        <v>194</v>
      </c>
      <c r="C502" t="s">
        <v>4</v>
      </c>
      <c r="D502">
        <v>6469</v>
      </c>
      <c r="E502">
        <v>15</v>
      </c>
      <c r="F502">
        <v>1700</v>
      </c>
    </row>
    <row r="503" spans="1:6" x14ac:dyDescent="0.2">
      <c r="A503">
        <v>502</v>
      </c>
      <c r="B503" t="s">
        <v>193</v>
      </c>
      <c r="C503" t="s">
        <v>6</v>
      </c>
      <c r="D503">
        <v>6466</v>
      </c>
      <c r="E503">
        <v>16</v>
      </c>
      <c r="F503">
        <v>1900</v>
      </c>
    </row>
    <row r="504" spans="1:6" x14ac:dyDescent="0.2">
      <c r="A504">
        <v>503</v>
      </c>
      <c r="B504" t="s">
        <v>192</v>
      </c>
      <c r="C504" t="s">
        <v>9</v>
      </c>
      <c r="D504">
        <v>9729</v>
      </c>
      <c r="E504">
        <v>26</v>
      </c>
      <c r="F504">
        <v>1700</v>
      </c>
    </row>
    <row r="505" spans="1:6" x14ac:dyDescent="0.2">
      <c r="A505">
        <v>504</v>
      </c>
      <c r="B505" t="s">
        <v>191</v>
      </c>
      <c r="C505" t="s">
        <v>4</v>
      </c>
      <c r="D505">
        <v>7213</v>
      </c>
      <c r="E505">
        <v>19</v>
      </c>
      <c r="F505">
        <v>1700</v>
      </c>
    </row>
    <row r="506" spans="1:6" x14ac:dyDescent="0.2">
      <c r="A506">
        <v>505</v>
      </c>
      <c r="B506" t="s">
        <v>190</v>
      </c>
      <c r="C506" t="s">
        <v>7</v>
      </c>
      <c r="D506">
        <v>9047</v>
      </c>
      <c r="E506">
        <v>26</v>
      </c>
      <c r="F506">
        <v>1700</v>
      </c>
    </row>
    <row r="507" spans="1:6" x14ac:dyDescent="0.2">
      <c r="A507">
        <v>506</v>
      </c>
      <c r="B507" t="s">
        <v>189</v>
      </c>
      <c r="C507" t="s">
        <v>4</v>
      </c>
      <c r="D507">
        <v>6851</v>
      </c>
      <c r="E507">
        <v>20</v>
      </c>
      <c r="F507">
        <v>1700</v>
      </c>
    </row>
    <row r="508" spans="1:6" x14ac:dyDescent="0.2">
      <c r="A508">
        <v>507</v>
      </c>
      <c r="B508" t="s">
        <v>188</v>
      </c>
      <c r="C508" t="s">
        <v>10</v>
      </c>
      <c r="D508">
        <v>27873</v>
      </c>
      <c r="E508">
        <v>33</v>
      </c>
      <c r="F508">
        <v>2500</v>
      </c>
    </row>
    <row r="509" spans="1:6" x14ac:dyDescent="0.2">
      <c r="A509">
        <v>508</v>
      </c>
      <c r="B509" t="s">
        <v>187</v>
      </c>
      <c r="C509" t="s">
        <v>9</v>
      </c>
      <c r="D509">
        <v>9465</v>
      </c>
      <c r="E509">
        <v>19</v>
      </c>
      <c r="F509">
        <v>1700</v>
      </c>
    </row>
    <row r="510" spans="1:6" x14ac:dyDescent="0.2">
      <c r="A510">
        <v>509</v>
      </c>
      <c r="B510" t="s">
        <v>186</v>
      </c>
      <c r="C510" t="s">
        <v>7</v>
      </c>
      <c r="D510">
        <v>6792</v>
      </c>
      <c r="E510">
        <v>19</v>
      </c>
      <c r="F510">
        <v>1700</v>
      </c>
    </row>
    <row r="511" spans="1:6" x14ac:dyDescent="0.2">
      <c r="A511">
        <v>510</v>
      </c>
      <c r="B511" t="s">
        <v>185</v>
      </c>
      <c r="C511" t="s">
        <v>6</v>
      </c>
      <c r="D511">
        <v>9341</v>
      </c>
      <c r="E511">
        <v>15</v>
      </c>
      <c r="F511">
        <v>1700</v>
      </c>
    </row>
    <row r="512" spans="1:6" x14ac:dyDescent="0.2">
      <c r="A512">
        <v>511</v>
      </c>
      <c r="B512" t="s">
        <v>184</v>
      </c>
      <c r="C512" t="s">
        <v>7</v>
      </c>
      <c r="D512">
        <v>9235</v>
      </c>
      <c r="E512">
        <v>22</v>
      </c>
      <c r="F512">
        <v>1700</v>
      </c>
    </row>
    <row r="513" spans="1:6" x14ac:dyDescent="0.2">
      <c r="A513">
        <v>512</v>
      </c>
      <c r="B513" t="s">
        <v>183</v>
      </c>
      <c r="C513" t="s">
        <v>3</v>
      </c>
      <c r="D513">
        <v>9630</v>
      </c>
      <c r="E513">
        <v>15</v>
      </c>
      <c r="F513">
        <v>1700</v>
      </c>
    </row>
    <row r="514" spans="1:6" x14ac:dyDescent="0.2">
      <c r="A514">
        <v>513</v>
      </c>
      <c r="B514" t="s">
        <v>182</v>
      </c>
      <c r="C514" t="s">
        <v>6</v>
      </c>
      <c r="D514">
        <v>9839</v>
      </c>
      <c r="E514">
        <v>22</v>
      </c>
      <c r="F514">
        <v>1700</v>
      </c>
    </row>
    <row r="515" spans="1:6" x14ac:dyDescent="0.2">
      <c r="A515">
        <v>514</v>
      </c>
      <c r="B515" t="s">
        <v>181</v>
      </c>
      <c r="C515" t="s">
        <v>9</v>
      </c>
      <c r="D515">
        <v>9697</v>
      </c>
      <c r="E515">
        <v>21</v>
      </c>
      <c r="F515">
        <v>1700</v>
      </c>
    </row>
    <row r="516" spans="1:6" x14ac:dyDescent="0.2">
      <c r="A516">
        <v>515</v>
      </c>
      <c r="B516" t="s">
        <v>180</v>
      </c>
      <c r="C516" t="s">
        <v>9</v>
      </c>
      <c r="D516">
        <v>9018</v>
      </c>
      <c r="E516">
        <v>26</v>
      </c>
      <c r="F516">
        <v>1700</v>
      </c>
    </row>
    <row r="517" spans="1:6" x14ac:dyDescent="0.2">
      <c r="A517">
        <v>516</v>
      </c>
      <c r="B517" t="s">
        <v>179</v>
      </c>
      <c r="C517" t="s">
        <v>10</v>
      </c>
      <c r="D517">
        <v>6246</v>
      </c>
      <c r="E517">
        <v>18</v>
      </c>
      <c r="F517">
        <v>1700</v>
      </c>
    </row>
    <row r="518" spans="1:6" x14ac:dyDescent="0.2">
      <c r="A518">
        <v>517</v>
      </c>
      <c r="B518" t="s">
        <v>178</v>
      </c>
      <c r="C518" t="s">
        <v>4</v>
      </c>
      <c r="D518">
        <v>20702</v>
      </c>
      <c r="E518">
        <v>39</v>
      </c>
      <c r="F518">
        <v>2500</v>
      </c>
    </row>
    <row r="519" spans="1:6" x14ac:dyDescent="0.2">
      <c r="A519">
        <v>518</v>
      </c>
      <c r="B519" t="s">
        <v>177</v>
      </c>
      <c r="C519" t="s">
        <v>10</v>
      </c>
      <c r="D519">
        <v>29932</v>
      </c>
      <c r="E519">
        <v>32</v>
      </c>
      <c r="F519">
        <v>2500</v>
      </c>
    </row>
    <row r="520" spans="1:6" x14ac:dyDescent="0.2">
      <c r="A520">
        <v>519</v>
      </c>
      <c r="B520" t="s">
        <v>176</v>
      </c>
      <c r="C520" t="s">
        <v>6</v>
      </c>
      <c r="D520">
        <v>51210</v>
      </c>
      <c r="E520">
        <v>32</v>
      </c>
      <c r="F520">
        <v>2500</v>
      </c>
    </row>
    <row r="521" spans="1:6" x14ac:dyDescent="0.2">
      <c r="A521">
        <v>520</v>
      </c>
      <c r="B521" t="s">
        <v>175</v>
      </c>
      <c r="C521" t="s">
        <v>9</v>
      </c>
      <c r="D521">
        <v>6176</v>
      </c>
      <c r="E521">
        <v>18</v>
      </c>
      <c r="F521">
        <v>1700</v>
      </c>
    </row>
    <row r="522" spans="1:6" x14ac:dyDescent="0.2">
      <c r="A522">
        <v>521</v>
      </c>
      <c r="B522" t="s">
        <v>174</v>
      </c>
      <c r="C522" t="s">
        <v>4</v>
      </c>
      <c r="D522" t="s">
        <v>21</v>
      </c>
      <c r="E522">
        <v>35</v>
      </c>
      <c r="F522">
        <v>2700</v>
      </c>
    </row>
    <row r="523" spans="1:6" x14ac:dyDescent="0.2">
      <c r="A523">
        <v>522</v>
      </c>
      <c r="B523" t="s">
        <v>173</v>
      </c>
      <c r="C523" t="s">
        <v>10</v>
      </c>
      <c r="D523">
        <v>7501</v>
      </c>
      <c r="E523">
        <v>25</v>
      </c>
      <c r="F523">
        <v>1700</v>
      </c>
    </row>
    <row r="524" spans="1:6" x14ac:dyDescent="0.2">
      <c r="A524">
        <v>523</v>
      </c>
      <c r="B524" t="s">
        <v>172</v>
      </c>
      <c r="C524" t="s">
        <v>6</v>
      </c>
      <c r="D524">
        <v>53556</v>
      </c>
      <c r="E524">
        <v>25</v>
      </c>
      <c r="F524">
        <v>2700</v>
      </c>
    </row>
    <row r="525" spans="1:6" x14ac:dyDescent="0.2">
      <c r="A525">
        <v>524</v>
      </c>
      <c r="B525" t="s">
        <v>171</v>
      </c>
      <c r="C525" t="s">
        <v>7</v>
      </c>
      <c r="D525">
        <v>18383</v>
      </c>
      <c r="E525">
        <v>29</v>
      </c>
      <c r="F525">
        <v>2500</v>
      </c>
    </row>
    <row r="526" spans="1:6" x14ac:dyDescent="0.2">
      <c r="A526">
        <v>525</v>
      </c>
      <c r="B526" t="s">
        <v>170</v>
      </c>
      <c r="C526" t="s">
        <v>4</v>
      </c>
      <c r="D526">
        <v>8738</v>
      </c>
      <c r="E526">
        <v>18</v>
      </c>
      <c r="F526">
        <v>1700</v>
      </c>
    </row>
    <row r="527" spans="1:6" x14ac:dyDescent="0.2">
      <c r="A527">
        <v>526</v>
      </c>
      <c r="B527" t="s">
        <v>169</v>
      </c>
      <c r="C527" t="s">
        <v>6</v>
      </c>
      <c r="D527">
        <v>9423</v>
      </c>
      <c r="E527">
        <v>25</v>
      </c>
      <c r="F527">
        <v>1700</v>
      </c>
    </row>
    <row r="528" spans="1:6" x14ac:dyDescent="0.2">
      <c r="A528">
        <v>527</v>
      </c>
      <c r="B528" t="s">
        <v>168</v>
      </c>
      <c r="C528" t="s">
        <v>10</v>
      </c>
      <c r="D528">
        <v>7219</v>
      </c>
      <c r="E528">
        <v>18</v>
      </c>
      <c r="F528">
        <v>1900</v>
      </c>
    </row>
    <row r="529" spans="1:6" x14ac:dyDescent="0.2">
      <c r="A529">
        <v>528</v>
      </c>
      <c r="B529" t="s">
        <v>167</v>
      </c>
      <c r="C529" t="s">
        <v>4</v>
      </c>
      <c r="D529">
        <v>6071</v>
      </c>
      <c r="E529">
        <v>20</v>
      </c>
      <c r="F529">
        <v>1700</v>
      </c>
    </row>
    <row r="530" spans="1:6" x14ac:dyDescent="0.2">
      <c r="A530">
        <v>529</v>
      </c>
      <c r="B530" t="s">
        <v>166</v>
      </c>
      <c r="C530" t="s">
        <v>10</v>
      </c>
      <c r="D530">
        <v>7989</v>
      </c>
      <c r="E530">
        <v>24</v>
      </c>
      <c r="F530">
        <v>1700</v>
      </c>
    </row>
    <row r="531" spans="1:6" x14ac:dyDescent="0.2">
      <c r="A531">
        <v>530</v>
      </c>
      <c r="B531" t="s">
        <v>165</v>
      </c>
      <c r="C531" t="s">
        <v>4</v>
      </c>
      <c r="D531">
        <v>6203</v>
      </c>
      <c r="E531">
        <v>26</v>
      </c>
      <c r="F531">
        <v>1900</v>
      </c>
    </row>
    <row r="532" spans="1:6" x14ac:dyDescent="0.2">
      <c r="A532">
        <v>531</v>
      </c>
      <c r="B532" t="s">
        <v>164</v>
      </c>
      <c r="C532" t="s">
        <v>10</v>
      </c>
      <c r="D532">
        <v>6667</v>
      </c>
      <c r="E532">
        <v>17</v>
      </c>
      <c r="F532">
        <v>1700</v>
      </c>
    </row>
    <row r="533" spans="1:6" x14ac:dyDescent="0.2">
      <c r="A533">
        <v>532</v>
      </c>
      <c r="B533" t="s">
        <v>163</v>
      </c>
      <c r="C533" t="s">
        <v>4</v>
      </c>
      <c r="D533">
        <v>15308</v>
      </c>
      <c r="E533">
        <v>37</v>
      </c>
      <c r="F533">
        <v>2700</v>
      </c>
    </row>
    <row r="534" spans="1:6" x14ac:dyDescent="0.2">
      <c r="A534">
        <v>533</v>
      </c>
      <c r="B534" t="s">
        <v>162</v>
      </c>
      <c r="C534" t="s">
        <v>6</v>
      </c>
      <c r="D534">
        <v>51174</v>
      </c>
      <c r="E534">
        <v>38</v>
      </c>
      <c r="F534">
        <v>2700</v>
      </c>
    </row>
    <row r="535" spans="1:6" x14ac:dyDescent="0.2">
      <c r="A535">
        <v>534</v>
      </c>
      <c r="B535" t="s">
        <v>161</v>
      </c>
      <c r="C535" t="s">
        <v>9</v>
      </c>
      <c r="D535">
        <v>9876</v>
      </c>
      <c r="E535">
        <v>23</v>
      </c>
      <c r="F535">
        <v>1700</v>
      </c>
    </row>
    <row r="536" spans="1:6" x14ac:dyDescent="0.2">
      <c r="A536">
        <v>535</v>
      </c>
      <c r="B536" t="s">
        <v>160</v>
      </c>
      <c r="C536" t="s">
        <v>10</v>
      </c>
      <c r="D536">
        <v>36959</v>
      </c>
      <c r="E536">
        <v>36</v>
      </c>
      <c r="F536">
        <v>2500</v>
      </c>
    </row>
    <row r="537" spans="1:6" x14ac:dyDescent="0.2">
      <c r="A537">
        <v>536</v>
      </c>
      <c r="B537" t="s">
        <v>159</v>
      </c>
      <c r="C537" t="s">
        <v>9</v>
      </c>
      <c r="D537">
        <v>16886</v>
      </c>
      <c r="E537">
        <v>27</v>
      </c>
      <c r="F537">
        <v>2500</v>
      </c>
    </row>
    <row r="538" spans="1:6" x14ac:dyDescent="0.2">
      <c r="A538">
        <v>537</v>
      </c>
      <c r="B538" t="s">
        <v>158</v>
      </c>
      <c r="C538" t="s">
        <v>4</v>
      </c>
      <c r="D538">
        <v>7234</v>
      </c>
      <c r="E538">
        <v>18</v>
      </c>
      <c r="F538">
        <v>1700</v>
      </c>
    </row>
    <row r="539" spans="1:6" x14ac:dyDescent="0.2">
      <c r="A539">
        <v>538</v>
      </c>
      <c r="B539" t="s">
        <v>157</v>
      </c>
      <c r="C539" t="s">
        <v>5</v>
      </c>
      <c r="D539">
        <v>6570</v>
      </c>
      <c r="E539">
        <v>25</v>
      </c>
      <c r="F539">
        <v>1900</v>
      </c>
    </row>
    <row r="540" spans="1:6" x14ac:dyDescent="0.2">
      <c r="A540">
        <v>539</v>
      </c>
      <c r="B540" t="s">
        <v>156</v>
      </c>
      <c r="C540" t="s">
        <v>4</v>
      </c>
      <c r="D540" t="s">
        <v>21</v>
      </c>
      <c r="E540">
        <v>25</v>
      </c>
      <c r="F540">
        <v>2500</v>
      </c>
    </row>
    <row r="541" spans="1:6" x14ac:dyDescent="0.2">
      <c r="A541">
        <v>540</v>
      </c>
      <c r="B541" t="s">
        <v>155</v>
      </c>
      <c r="C541" t="s">
        <v>6</v>
      </c>
      <c r="D541">
        <v>7724</v>
      </c>
      <c r="E541">
        <v>24</v>
      </c>
      <c r="F541">
        <v>1900</v>
      </c>
    </row>
    <row r="542" spans="1:6" x14ac:dyDescent="0.2">
      <c r="A542">
        <v>541</v>
      </c>
      <c r="B542" t="s">
        <v>154</v>
      </c>
      <c r="C542" t="s">
        <v>9</v>
      </c>
      <c r="D542">
        <v>8033</v>
      </c>
      <c r="E542">
        <v>21</v>
      </c>
      <c r="F542">
        <v>1700</v>
      </c>
    </row>
    <row r="543" spans="1:6" x14ac:dyDescent="0.2">
      <c r="A543">
        <v>542</v>
      </c>
      <c r="B543" t="s">
        <v>153</v>
      </c>
      <c r="C543" t="s">
        <v>6</v>
      </c>
      <c r="D543">
        <v>9848</v>
      </c>
      <c r="E543">
        <v>17</v>
      </c>
      <c r="F543">
        <v>1900</v>
      </c>
    </row>
    <row r="544" spans="1:6" x14ac:dyDescent="0.2">
      <c r="A544">
        <v>543</v>
      </c>
      <c r="B544" t="s">
        <v>152</v>
      </c>
      <c r="C544" t="s">
        <v>4</v>
      </c>
      <c r="D544">
        <v>7576</v>
      </c>
      <c r="E544">
        <v>15</v>
      </c>
      <c r="F544">
        <v>1700</v>
      </c>
    </row>
    <row r="545" spans="1:6" x14ac:dyDescent="0.2">
      <c r="A545">
        <v>544</v>
      </c>
      <c r="B545" t="s">
        <v>151</v>
      </c>
      <c r="C545" t="s">
        <v>6</v>
      </c>
      <c r="D545">
        <v>33400</v>
      </c>
      <c r="E545">
        <v>34</v>
      </c>
      <c r="F545">
        <v>2700</v>
      </c>
    </row>
    <row r="546" spans="1:6" x14ac:dyDescent="0.2">
      <c r="A546">
        <v>545</v>
      </c>
      <c r="B546" t="s">
        <v>150</v>
      </c>
      <c r="C546" t="s">
        <v>9</v>
      </c>
      <c r="D546">
        <v>10393</v>
      </c>
      <c r="E546">
        <v>27</v>
      </c>
      <c r="F546">
        <v>2700</v>
      </c>
    </row>
    <row r="547" spans="1:6" x14ac:dyDescent="0.2">
      <c r="A547">
        <v>546</v>
      </c>
      <c r="B547" t="s">
        <v>149</v>
      </c>
      <c r="C547" t="s">
        <v>9</v>
      </c>
      <c r="D547">
        <v>6920</v>
      </c>
      <c r="E547">
        <v>22</v>
      </c>
      <c r="F547">
        <v>1700</v>
      </c>
    </row>
    <row r="548" spans="1:6" x14ac:dyDescent="0.2">
      <c r="A548">
        <v>547</v>
      </c>
      <c r="B548" t="s">
        <v>148</v>
      </c>
      <c r="C548" t="s">
        <v>6</v>
      </c>
      <c r="D548">
        <v>9892</v>
      </c>
      <c r="E548">
        <v>25</v>
      </c>
      <c r="F548">
        <v>1900</v>
      </c>
    </row>
    <row r="549" spans="1:6" x14ac:dyDescent="0.2">
      <c r="A549">
        <v>548</v>
      </c>
      <c r="B549" t="s">
        <v>147</v>
      </c>
      <c r="C549" t="s">
        <v>9</v>
      </c>
      <c r="D549">
        <v>8841</v>
      </c>
      <c r="E549">
        <v>19</v>
      </c>
      <c r="F549">
        <v>1700</v>
      </c>
    </row>
    <row r="550" spans="1:6" x14ac:dyDescent="0.2">
      <c r="A550">
        <v>549</v>
      </c>
      <c r="B550" t="s">
        <v>146</v>
      </c>
      <c r="C550" t="s">
        <v>4</v>
      </c>
      <c r="D550">
        <v>9018</v>
      </c>
      <c r="E550">
        <v>19</v>
      </c>
      <c r="F550">
        <v>1700</v>
      </c>
    </row>
    <row r="551" spans="1:6" x14ac:dyDescent="0.2">
      <c r="A551">
        <v>550</v>
      </c>
      <c r="B551" t="s">
        <v>145</v>
      </c>
      <c r="C551" t="s">
        <v>9</v>
      </c>
      <c r="D551">
        <v>8076</v>
      </c>
      <c r="E551">
        <v>26</v>
      </c>
      <c r="F551">
        <v>1700</v>
      </c>
    </row>
    <row r="552" spans="1:6" x14ac:dyDescent="0.2">
      <c r="A552">
        <v>551</v>
      </c>
      <c r="B552" t="s">
        <v>144</v>
      </c>
      <c r="C552" t="s">
        <v>9</v>
      </c>
      <c r="D552">
        <v>7133</v>
      </c>
      <c r="E552">
        <v>17</v>
      </c>
      <c r="F552">
        <v>1700</v>
      </c>
    </row>
    <row r="553" spans="1:6" x14ac:dyDescent="0.2">
      <c r="A553">
        <v>552</v>
      </c>
      <c r="B553" t="s">
        <v>143</v>
      </c>
      <c r="C553" t="s">
        <v>6</v>
      </c>
      <c r="D553">
        <v>6191</v>
      </c>
      <c r="E553">
        <v>18</v>
      </c>
      <c r="F553">
        <v>1900</v>
      </c>
    </row>
    <row r="554" spans="1:6" x14ac:dyDescent="0.2">
      <c r="A554">
        <v>553</v>
      </c>
      <c r="B554" t="s">
        <v>142</v>
      </c>
      <c r="C554" t="s">
        <v>6</v>
      </c>
      <c r="D554">
        <v>6946</v>
      </c>
      <c r="E554">
        <v>25</v>
      </c>
      <c r="F554">
        <v>1900</v>
      </c>
    </row>
    <row r="555" spans="1:6" x14ac:dyDescent="0.2">
      <c r="A555">
        <v>554</v>
      </c>
      <c r="B555" t="s">
        <v>141</v>
      </c>
      <c r="C555" t="s">
        <v>6</v>
      </c>
      <c r="D555">
        <v>9361</v>
      </c>
      <c r="E555">
        <v>15</v>
      </c>
      <c r="F555">
        <v>1700</v>
      </c>
    </row>
    <row r="556" spans="1:6" x14ac:dyDescent="0.2">
      <c r="A556">
        <v>555</v>
      </c>
      <c r="B556" t="s">
        <v>140</v>
      </c>
      <c r="C556" t="s">
        <v>9</v>
      </c>
      <c r="D556">
        <v>6265</v>
      </c>
      <c r="E556">
        <v>15</v>
      </c>
      <c r="F556">
        <v>1700</v>
      </c>
    </row>
    <row r="557" spans="1:6" x14ac:dyDescent="0.2">
      <c r="A557">
        <v>556</v>
      </c>
      <c r="B557" t="s">
        <v>139</v>
      </c>
      <c r="C557" t="s">
        <v>6</v>
      </c>
      <c r="D557">
        <v>8861</v>
      </c>
      <c r="E557">
        <v>20</v>
      </c>
      <c r="F557">
        <v>1700</v>
      </c>
    </row>
    <row r="558" spans="1:6" x14ac:dyDescent="0.2">
      <c r="A558">
        <v>557</v>
      </c>
      <c r="B558" t="s">
        <v>138</v>
      </c>
      <c r="C558" t="s">
        <v>4</v>
      </c>
      <c r="D558" t="s">
        <v>21</v>
      </c>
      <c r="E558">
        <v>19</v>
      </c>
      <c r="F558">
        <v>1900</v>
      </c>
    </row>
    <row r="559" spans="1:6" x14ac:dyDescent="0.2">
      <c r="A559">
        <v>558</v>
      </c>
      <c r="B559" t="s">
        <v>137</v>
      </c>
      <c r="C559" t="s">
        <v>9</v>
      </c>
      <c r="D559">
        <v>8036</v>
      </c>
      <c r="E559">
        <v>24</v>
      </c>
      <c r="F559">
        <v>1700</v>
      </c>
    </row>
    <row r="560" spans="1:6" x14ac:dyDescent="0.2">
      <c r="A560">
        <v>559</v>
      </c>
      <c r="B560" t="s">
        <v>136</v>
      </c>
      <c r="C560" t="s">
        <v>10</v>
      </c>
      <c r="D560">
        <v>6293</v>
      </c>
      <c r="E560">
        <v>24</v>
      </c>
      <c r="F560">
        <v>1700</v>
      </c>
    </row>
    <row r="561" spans="1:6" x14ac:dyDescent="0.2">
      <c r="A561">
        <v>560</v>
      </c>
      <c r="B561" t="s">
        <v>135</v>
      </c>
      <c r="C561" t="s">
        <v>4</v>
      </c>
      <c r="D561">
        <v>9161</v>
      </c>
      <c r="E561">
        <v>21</v>
      </c>
      <c r="F561">
        <v>1700</v>
      </c>
    </row>
    <row r="562" spans="1:6" x14ac:dyDescent="0.2">
      <c r="A562">
        <v>561</v>
      </c>
      <c r="B562" t="s">
        <v>134</v>
      </c>
      <c r="C562" t="s">
        <v>9</v>
      </c>
      <c r="D562">
        <v>6227</v>
      </c>
      <c r="E562">
        <v>21</v>
      </c>
      <c r="F562">
        <v>1700</v>
      </c>
    </row>
    <row r="563" spans="1:6" x14ac:dyDescent="0.2">
      <c r="A563">
        <v>562</v>
      </c>
      <c r="B563" t="s">
        <v>133</v>
      </c>
      <c r="C563" t="s">
        <v>6</v>
      </c>
      <c r="D563">
        <v>7180</v>
      </c>
      <c r="E563">
        <v>19</v>
      </c>
      <c r="F563">
        <v>1700</v>
      </c>
    </row>
    <row r="564" spans="1:6" x14ac:dyDescent="0.2">
      <c r="A564">
        <v>563</v>
      </c>
      <c r="B564" t="s">
        <v>132</v>
      </c>
      <c r="C564" t="s">
        <v>9</v>
      </c>
      <c r="D564">
        <v>19887</v>
      </c>
      <c r="E564">
        <v>31</v>
      </c>
      <c r="F564">
        <v>2500</v>
      </c>
    </row>
    <row r="565" spans="1:6" x14ac:dyDescent="0.2">
      <c r="A565">
        <v>564</v>
      </c>
      <c r="B565" t="s">
        <v>131</v>
      </c>
      <c r="C565" t="s">
        <v>4</v>
      </c>
      <c r="D565">
        <v>11268</v>
      </c>
      <c r="E565">
        <v>26</v>
      </c>
      <c r="F565">
        <v>2500</v>
      </c>
    </row>
    <row r="566" spans="1:6" x14ac:dyDescent="0.2">
      <c r="A566">
        <v>565</v>
      </c>
      <c r="B566" t="s">
        <v>130</v>
      </c>
      <c r="C566" t="s">
        <v>4</v>
      </c>
      <c r="D566">
        <v>7713</v>
      </c>
      <c r="E566">
        <v>22</v>
      </c>
      <c r="F566">
        <v>1900</v>
      </c>
    </row>
    <row r="567" spans="1:6" x14ac:dyDescent="0.2">
      <c r="A567">
        <v>566</v>
      </c>
      <c r="B567" t="s">
        <v>129</v>
      </c>
      <c r="C567" t="s">
        <v>4</v>
      </c>
      <c r="D567">
        <v>7544</v>
      </c>
      <c r="E567">
        <v>16</v>
      </c>
      <c r="F567">
        <v>1700</v>
      </c>
    </row>
    <row r="568" spans="1:6" x14ac:dyDescent="0.2">
      <c r="A568">
        <v>567</v>
      </c>
      <c r="B568" t="s">
        <v>128</v>
      </c>
      <c r="C568" t="s">
        <v>4</v>
      </c>
      <c r="D568">
        <v>42538</v>
      </c>
      <c r="E568">
        <v>34</v>
      </c>
      <c r="F568">
        <v>2500</v>
      </c>
    </row>
    <row r="569" spans="1:6" x14ac:dyDescent="0.2">
      <c r="A569">
        <v>568</v>
      </c>
      <c r="B569" t="s">
        <v>127</v>
      </c>
      <c r="C569" t="s">
        <v>9</v>
      </c>
      <c r="D569">
        <v>6068</v>
      </c>
      <c r="E569">
        <v>26</v>
      </c>
      <c r="F569">
        <v>1700</v>
      </c>
    </row>
    <row r="570" spans="1:6" x14ac:dyDescent="0.2">
      <c r="A570">
        <v>569</v>
      </c>
      <c r="B570" t="s">
        <v>126</v>
      </c>
      <c r="C570" t="s">
        <v>9</v>
      </c>
      <c r="D570">
        <v>8407</v>
      </c>
      <c r="E570">
        <v>25</v>
      </c>
      <c r="F570">
        <v>1700</v>
      </c>
    </row>
    <row r="571" spans="1:6" x14ac:dyDescent="0.2">
      <c r="A571">
        <v>570</v>
      </c>
      <c r="B571" t="s">
        <v>125</v>
      </c>
      <c r="C571" t="s">
        <v>9</v>
      </c>
      <c r="D571">
        <v>8894</v>
      </c>
      <c r="E571">
        <v>25</v>
      </c>
      <c r="F571">
        <v>1700</v>
      </c>
    </row>
    <row r="572" spans="1:6" x14ac:dyDescent="0.2">
      <c r="A572">
        <v>571</v>
      </c>
      <c r="B572" t="s">
        <v>124</v>
      </c>
      <c r="C572" t="s">
        <v>9</v>
      </c>
      <c r="D572">
        <v>9612</v>
      </c>
      <c r="E572">
        <v>26</v>
      </c>
      <c r="F572">
        <v>1700</v>
      </c>
    </row>
    <row r="573" spans="1:6" x14ac:dyDescent="0.2">
      <c r="A573">
        <v>572</v>
      </c>
      <c r="B573" t="s">
        <v>123</v>
      </c>
      <c r="C573" t="s">
        <v>10</v>
      </c>
      <c r="D573">
        <v>6819</v>
      </c>
      <c r="E573">
        <v>20</v>
      </c>
      <c r="F573">
        <v>1700</v>
      </c>
    </row>
    <row r="574" spans="1:6" x14ac:dyDescent="0.2">
      <c r="A574">
        <v>573</v>
      </c>
      <c r="B574" t="s">
        <v>122</v>
      </c>
      <c r="C574" t="s">
        <v>9</v>
      </c>
      <c r="D574">
        <v>9223</v>
      </c>
      <c r="E574">
        <v>24</v>
      </c>
      <c r="F574">
        <v>1900</v>
      </c>
    </row>
    <row r="575" spans="1:6" x14ac:dyDescent="0.2">
      <c r="A575">
        <v>574</v>
      </c>
      <c r="B575" t="s">
        <v>121</v>
      </c>
      <c r="C575" t="s">
        <v>3</v>
      </c>
      <c r="D575">
        <v>9714</v>
      </c>
      <c r="E575">
        <v>22</v>
      </c>
      <c r="F575">
        <v>1700</v>
      </c>
    </row>
    <row r="576" spans="1:6" x14ac:dyDescent="0.2">
      <c r="A576">
        <v>575</v>
      </c>
      <c r="B576" t="s">
        <v>120</v>
      </c>
      <c r="C576" t="s">
        <v>10</v>
      </c>
      <c r="D576">
        <v>8772</v>
      </c>
      <c r="E576">
        <v>26</v>
      </c>
      <c r="F576">
        <v>1700</v>
      </c>
    </row>
    <row r="577" spans="1:6" x14ac:dyDescent="0.2">
      <c r="A577">
        <v>576</v>
      </c>
      <c r="B577" t="s">
        <v>119</v>
      </c>
      <c r="C577" t="s">
        <v>6</v>
      </c>
      <c r="D577">
        <v>6408</v>
      </c>
      <c r="E577">
        <v>21</v>
      </c>
      <c r="F577">
        <v>1700</v>
      </c>
    </row>
    <row r="578" spans="1:6" x14ac:dyDescent="0.2">
      <c r="A578">
        <v>577</v>
      </c>
      <c r="B578" t="s">
        <v>118</v>
      </c>
      <c r="C578" t="s">
        <v>6</v>
      </c>
      <c r="D578">
        <v>9204</v>
      </c>
      <c r="E578">
        <v>20</v>
      </c>
      <c r="F578">
        <v>1700</v>
      </c>
    </row>
    <row r="579" spans="1:6" x14ac:dyDescent="0.2">
      <c r="A579">
        <v>578</v>
      </c>
      <c r="B579" t="s">
        <v>117</v>
      </c>
      <c r="C579" t="s">
        <v>6</v>
      </c>
      <c r="D579">
        <v>9410</v>
      </c>
      <c r="E579">
        <v>24</v>
      </c>
      <c r="F579">
        <v>1700</v>
      </c>
    </row>
    <row r="580" spans="1:6" x14ac:dyDescent="0.2">
      <c r="A580">
        <v>579</v>
      </c>
      <c r="B580" t="s">
        <v>116</v>
      </c>
      <c r="C580" t="s">
        <v>4</v>
      </c>
      <c r="D580">
        <v>8180</v>
      </c>
      <c r="E580">
        <v>15</v>
      </c>
      <c r="F580">
        <v>1700</v>
      </c>
    </row>
    <row r="581" spans="1:6" x14ac:dyDescent="0.2">
      <c r="A581">
        <v>580</v>
      </c>
      <c r="B581" t="s">
        <v>115</v>
      </c>
      <c r="C581" t="s">
        <v>4</v>
      </c>
      <c r="D581">
        <v>9826</v>
      </c>
      <c r="E581">
        <v>21</v>
      </c>
      <c r="F581">
        <v>1900</v>
      </c>
    </row>
    <row r="582" spans="1:6" x14ac:dyDescent="0.2">
      <c r="A582">
        <v>581</v>
      </c>
      <c r="B582" t="s">
        <v>114</v>
      </c>
      <c r="C582" t="s">
        <v>4</v>
      </c>
      <c r="D582">
        <v>6768</v>
      </c>
      <c r="E582">
        <v>26</v>
      </c>
      <c r="F582">
        <v>1900</v>
      </c>
    </row>
    <row r="583" spans="1:6" x14ac:dyDescent="0.2">
      <c r="A583">
        <v>582</v>
      </c>
      <c r="B583" t="s">
        <v>113</v>
      </c>
      <c r="C583" t="s">
        <v>9</v>
      </c>
      <c r="D583">
        <v>8063</v>
      </c>
      <c r="E583">
        <v>21</v>
      </c>
      <c r="F583">
        <v>1900</v>
      </c>
    </row>
    <row r="584" spans="1:6" x14ac:dyDescent="0.2">
      <c r="A584">
        <v>583</v>
      </c>
      <c r="B584" t="s">
        <v>112</v>
      </c>
      <c r="C584" t="s">
        <v>7</v>
      </c>
      <c r="D584">
        <v>7054</v>
      </c>
      <c r="E584">
        <v>18</v>
      </c>
      <c r="F584">
        <v>1700</v>
      </c>
    </row>
    <row r="585" spans="1:6" x14ac:dyDescent="0.2">
      <c r="A585">
        <v>584</v>
      </c>
      <c r="B585" t="s">
        <v>111</v>
      </c>
      <c r="C585" t="s">
        <v>9</v>
      </c>
      <c r="D585">
        <v>54810</v>
      </c>
      <c r="E585">
        <v>35</v>
      </c>
      <c r="F585">
        <v>2500</v>
      </c>
    </row>
    <row r="586" spans="1:6" x14ac:dyDescent="0.2">
      <c r="A586">
        <v>585</v>
      </c>
      <c r="B586" t="s">
        <v>110</v>
      </c>
      <c r="C586" t="s">
        <v>9</v>
      </c>
      <c r="D586">
        <v>7825</v>
      </c>
      <c r="E586">
        <v>24</v>
      </c>
      <c r="F586">
        <v>1700</v>
      </c>
    </row>
    <row r="587" spans="1:6" x14ac:dyDescent="0.2">
      <c r="A587">
        <v>586</v>
      </c>
      <c r="B587" t="s">
        <v>109</v>
      </c>
      <c r="C587" t="s">
        <v>9</v>
      </c>
      <c r="D587">
        <v>6909</v>
      </c>
      <c r="E587">
        <v>26</v>
      </c>
      <c r="F587">
        <v>1900</v>
      </c>
    </row>
    <row r="588" spans="1:6" x14ac:dyDescent="0.2">
      <c r="A588">
        <v>587</v>
      </c>
      <c r="B588" t="s">
        <v>108</v>
      </c>
      <c r="C588" t="s">
        <v>6</v>
      </c>
      <c r="D588">
        <v>8744</v>
      </c>
      <c r="E588">
        <v>26</v>
      </c>
      <c r="F588">
        <v>1900</v>
      </c>
    </row>
    <row r="589" spans="1:6" x14ac:dyDescent="0.2">
      <c r="A589">
        <v>588</v>
      </c>
      <c r="B589" t="s">
        <v>107</v>
      </c>
      <c r="C589" t="s">
        <v>9</v>
      </c>
      <c r="D589">
        <v>9398</v>
      </c>
      <c r="E589">
        <v>21</v>
      </c>
      <c r="F589">
        <v>1700</v>
      </c>
    </row>
    <row r="590" spans="1:6" x14ac:dyDescent="0.2">
      <c r="A590">
        <v>589</v>
      </c>
      <c r="B590" t="s">
        <v>106</v>
      </c>
      <c r="C590" t="s">
        <v>10</v>
      </c>
      <c r="D590">
        <v>30357</v>
      </c>
      <c r="E590">
        <v>29</v>
      </c>
      <c r="F590">
        <v>2500</v>
      </c>
    </row>
    <row r="591" spans="1:6" x14ac:dyDescent="0.2">
      <c r="A591">
        <v>590</v>
      </c>
      <c r="B591" t="s">
        <v>105</v>
      </c>
      <c r="C591" t="s">
        <v>6</v>
      </c>
      <c r="D591">
        <v>6186</v>
      </c>
      <c r="E591">
        <v>23</v>
      </c>
      <c r="F591">
        <v>1700</v>
      </c>
    </row>
    <row r="592" spans="1:6" x14ac:dyDescent="0.2">
      <c r="A592">
        <v>591</v>
      </c>
      <c r="B592" t="s">
        <v>104</v>
      </c>
      <c r="C592" t="s">
        <v>9</v>
      </c>
      <c r="D592">
        <v>42569</v>
      </c>
      <c r="E592">
        <v>28</v>
      </c>
      <c r="F592">
        <v>2500</v>
      </c>
    </row>
    <row r="593" spans="1:6" x14ac:dyDescent="0.2">
      <c r="A593">
        <v>592</v>
      </c>
      <c r="B593" t="s">
        <v>103</v>
      </c>
      <c r="C593" t="s">
        <v>9</v>
      </c>
      <c r="D593">
        <v>6006</v>
      </c>
      <c r="E593">
        <v>23</v>
      </c>
      <c r="F593">
        <v>1700</v>
      </c>
    </row>
    <row r="594" spans="1:6" x14ac:dyDescent="0.2">
      <c r="A594">
        <v>593</v>
      </c>
      <c r="B594" t="s">
        <v>102</v>
      </c>
      <c r="C594" t="s">
        <v>3</v>
      </c>
      <c r="D594">
        <v>7167</v>
      </c>
      <c r="E594">
        <v>17</v>
      </c>
      <c r="F594">
        <v>1900</v>
      </c>
    </row>
    <row r="595" spans="1:6" x14ac:dyDescent="0.2">
      <c r="A595">
        <v>594</v>
      </c>
      <c r="B595" t="s">
        <v>101</v>
      </c>
      <c r="C595" t="s">
        <v>4</v>
      </c>
      <c r="D595">
        <v>7941</v>
      </c>
      <c r="E595">
        <v>19</v>
      </c>
      <c r="F595">
        <v>1700</v>
      </c>
    </row>
    <row r="596" spans="1:6" x14ac:dyDescent="0.2">
      <c r="A596">
        <v>595</v>
      </c>
      <c r="B596" t="s">
        <v>100</v>
      </c>
      <c r="C596" t="s">
        <v>9</v>
      </c>
      <c r="D596">
        <v>6443</v>
      </c>
      <c r="E596">
        <v>23</v>
      </c>
      <c r="F596">
        <v>1700</v>
      </c>
    </row>
    <row r="597" spans="1:6" x14ac:dyDescent="0.2">
      <c r="A597">
        <v>596</v>
      </c>
      <c r="B597" t="s">
        <v>99</v>
      </c>
      <c r="C597" t="s">
        <v>4</v>
      </c>
      <c r="D597">
        <v>6631</v>
      </c>
      <c r="E597">
        <v>17</v>
      </c>
      <c r="F597">
        <v>1900</v>
      </c>
    </row>
    <row r="598" spans="1:6" x14ac:dyDescent="0.2">
      <c r="A598">
        <v>597</v>
      </c>
      <c r="B598" t="s">
        <v>98</v>
      </c>
      <c r="C598" t="s">
        <v>10</v>
      </c>
      <c r="D598">
        <v>48624</v>
      </c>
      <c r="E598">
        <v>37</v>
      </c>
      <c r="F598">
        <v>2500</v>
      </c>
    </row>
    <row r="599" spans="1:6" x14ac:dyDescent="0.2">
      <c r="A599">
        <v>598</v>
      </c>
      <c r="B599" t="s">
        <v>97</v>
      </c>
      <c r="C599" t="s">
        <v>4</v>
      </c>
      <c r="D599">
        <v>6797</v>
      </c>
      <c r="E599">
        <v>26</v>
      </c>
      <c r="F599">
        <v>1700</v>
      </c>
    </row>
    <row r="600" spans="1:6" x14ac:dyDescent="0.2">
      <c r="A600">
        <v>599</v>
      </c>
      <c r="B600" t="s">
        <v>96</v>
      </c>
      <c r="C600" t="s">
        <v>10</v>
      </c>
      <c r="D600">
        <v>8886</v>
      </c>
      <c r="E600">
        <v>26</v>
      </c>
      <c r="F600">
        <v>1900</v>
      </c>
    </row>
    <row r="601" spans="1:6" x14ac:dyDescent="0.2">
      <c r="A601">
        <v>600</v>
      </c>
      <c r="B601" t="s">
        <v>95</v>
      </c>
      <c r="C601" t="s">
        <v>6</v>
      </c>
      <c r="D601">
        <v>6601</v>
      </c>
      <c r="E601">
        <v>15</v>
      </c>
      <c r="F601">
        <v>1700</v>
      </c>
    </row>
    <row r="602" spans="1:6" x14ac:dyDescent="0.2">
      <c r="A602">
        <v>601</v>
      </c>
      <c r="B602" t="s">
        <v>94</v>
      </c>
      <c r="C602" t="s">
        <v>10</v>
      </c>
      <c r="D602">
        <v>8886</v>
      </c>
      <c r="E602">
        <v>23</v>
      </c>
      <c r="F602">
        <v>1700</v>
      </c>
    </row>
    <row r="603" spans="1:6" x14ac:dyDescent="0.2">
      <c r="A603">
        <v>602</v>
      </c>
      <c r="B603" t="s">
        <v>93</v>
      </c>
      <c r="C603" t="s">
        <v>9</v>
      </c>
      <c r="D603">
        <v>6726</v>
      </c>
      <c r="E603">
        <v>19</v>
      </c>
      <c r="F603">
        <v>1700</v>
      </c>
    </row>
    <row r="604" spans="1:6" x14ac:dyDescent="0.2">
      <c r="A604">
        <v>603</v>
      </c>
      <c r="B604" t="s">
        <v>92</v>
      </c>
      <c r="C604" t="s">
        <v>9</v>
      </c>
      <c r="D604">
        <v>7996</v>
      </c>
      <c r="E604">
        <v>17</v>
      </c>
      <c r="F604">
        <v>1900</v>
      </c>
    </row>
    <row r="605" spans="1:6" x14ac:dyDescent="0.2">
      <c r="A605">
        <v>604</v>
      </c>
      <c r="B605" t="s">
        <v>91</v>
      </c>
      <c r="C605" t="s">
        <v>9</v>
      </c>
      <c r="D605">
        <v>6314</v>
      </c>
      <c r="E605">
        <v>23</v>
      </c>
      <c r="F605">
        <v>1700</v>
      </c>
    </row>
    <row r="606" spans="1:6" x14ac:dyDescent="0.2">
      <c r="A606">
        <v>605</v>
      </c>
      <c r="B606" t="s">
        <v>90</v>
      </c>
      <c r="C606" t="s">
        <v>10</v>
      </c>
      <c r="D606">
        <v>9809</v>
      </c>
      <c r="E606">
        <v>23</v>
      </c>
      <c r="F606">
        <v>1700</v>
      </c>
    </row>
    <row r="607" spans="1:6" x14ac:dyDescent="0.2">
      <c r="A607">
        <v>606</v>
      </c>
      <c r="B607" t="s">
        <v>89</v>
      </c>
      <c r="C607" t="s">
        <v>9</v>
      </c>
      <c r="D607">
        <v>9120</v>
      </c>
      <c r="E607">
        <v>17</v>
      </c>
      <c r="F607">
        <v>1700</v>
      </c>
    </row>
    <row r="608" spans="1:6" x14ac:dyDescent="0.2">
      <c r="A608">
        <v>607</v>
      </c>
      <c r="B608" t="s">
        <v>88</v>
      </c>
      <c r="C608" t="s">
        <v>10</v>
      </c>
      <c r="D608">
        <v>9091</v>
      </c>
      <c r="E608">
        <v>22</v>
      </c>
      <c r="F608">
        <v>1900</v>
      </c>
    </row>
    <row r="609" spans="1:6" x14ac:dyDescent="0.2">
      <c r="A609">
        <v>608</v>
      </c>
      <c r="B609" t="s">
        <v>87</v>
      </c>
      <c r="C609" t="s">
        <v>10</v>
      </c>
      <c r="D609">
        <v>6103</v>
      </c>
      <c r="E609">
        <v>23</v>
      </c>
      <c r="F609">
        <v>1900</v>
      </c>
    </row>
    <row r="610" spans="1:6" x14ac:dyDescent="0.2">
      <c r="A610">
        <v>609</v>
      </c>
      <c r="B610" t="s">
        <v>86</v>
      </c>
      <c r="C610" t="s">
        <v>4</v>
      </c>
      <c r="D610">
        <v>8312</v>
      </c>
      <c r="E610">
        <v>25</v>
      </c>
      <c r="F610">
        <v>1700</v>
      </c>
    </row>
    <row r="611" spans="1:6" x14ac:dyDescent="0.2">
      <c r="A611">
        <v>610</v>
      </c>
      <c r="B611" t="s">
        <v>85</v>
      </c>
      <c r="C611" t="s">
        <v>10</v>
      </c>
      <c r="D611">
        <v>8771</v>
      </c>
      <c r="E611">
        <v>17</v>
      </c>
      <c r="F611">
        <v>1900</v>
      </c>
    </row>
    <row r="612" spans="1:6" x14ac:dyDescent="0.2">
      <c r="A612">
        <v>611</v>
      </c>
      <c r="B612" t="s">
        <v>84</v>
      </c>
      <c r="C612" t="s">
        <v>9</v>
      </c>
      <c r="D612">
        <v>6789</v>
      </c>
      <c r="E612">
        <v>17</v>
      </c>
      <c r="F612">
        <v>1700</v>
      </c>
    </row>
    <row r="613" spans="1:6" x14ac:dyDescent="0.2">
      <c r="A613">
        <v>612</v>
      </c>
      <c r="B613" t="s">
        <v>83</v>
      </c>
      <c r="C613" t="s">
        <v>4</v>
      </c>
      <c r="D613">
        <v>6683</v>
      </c>
      <c r="E613">
        <v>22</v>
      </c>
      <c r="F613">
        <v>1700</v>
      </c>
    </row>
    <row r="614" spans="1:6" x14ac:dyDescent="0.2">
      <c r="A614">
        <v>613</v>
      </c>
      <c r="B614" t="s">
        <v>82</v>
      </c>
      <c r="C614" t="s">
        <v>3</v>
      </c>
      <c r="D614">
        <v>48911</v>
      </c>
      <c r="E614">
        <v>26</v>
      </c>
      <c r="F614">
        <v>2700</v>
      </c>
    </row>
    <row r="615" spans="1:6" x14ac:dyDescent="0.2">
      <c r="A615">
        <v>614</v>
      </c>
      <c r="B615" t="s">
        <v>81</v>
      </c>
      <c r="C615" t="s">
        <v>6</v>
      </c>
      <c r="D615">
        <v>30522</v>
      </c>
      <c r="E615">
        <v>31</v>
      </c>
      <c r="F615">
        <v>2700</v>
      </c>
    </row>
    <row r="616" spans="1:6" x14ac:dyDescent="0.2">
      <c r="A616">
        <v>615</v>
      </c>
      <c r="B616" t="s">
        <v>80</v>
      </c>
      <c r="C616" t="s">
        <v>4</v>
      </c>
      <c r="D616">
        <v>6473</v>
      </c>
      <c r="E616">
        <v>20</v>
      </c>
      <c r="F616">
        <v>1700</v>
      </c>
    </row>
    <row r="617" spans="1:6" x14ac:dyDescent="0.2">
      <c r="A617">
        <v>616</v>
      </c>
      <c r="B617" t="s">
        <v>79</v>
      </c>
      <c r="C617" t="s">
        <v>4</v>
      </c>
      <c r="D617">
        <v>7581</v>
      </c>
      <c r="E617">
        <v>26</v>
      </c>
      <c r="F617">
        <v>1700</v>
      </c>
    </row>
    <row r="618" spans="1:6" x14ac:dyDescent="0.2">
      <c r="A618">
        <v>617</v>
      </c>
      <c r="B618" t="s">
        <v>78</v>
      </c>
      <c r="C618" t="s">
        <v>6</v>
      </c>
      <c r="D618">
        <v>6320</v>
      </c>
      <c r="E618">
        <v>16</v>
      </c>
      <c r="F618">
        <v>1700</v>
      </c>
    </row>
    <row r="619" spans="1:6" x14ac:dyDescent="0.2">
      <c r="A619">
        <v>618</v>
      </c>
      <c r="B619" t="s">
        <v>77</v>
      </c>
      <c r="C619" t="s">
        <v>4</v>
      </c>
      <c r="D619">
        <v>8722</v>
      </c>
      <c r="E619">
        <v>18</v>
      </c>
      <c r="F619">
        <v>1900</v>
      </c>
    </row>
    <row r="620" spans="1:6" x14ac:dyDescent="0.2">
      <c r="A620">
        <v>619</v>
      </c>
      <c r="B620" t="s">
        <v>76</v>
      </c>
      <c r="C620" t="s">
        <v>6</v>
      </c>
      <c r="D620">
        <v>9704</v>
      </c>
      <c r="E620">
        <v>16</v>
      </c>
      <c r="F620">
        <v>1700</v>
      </c>
    </row>
    <row r="621" spans="1:6" x14ac:dyDescent="0.2">
      <c r="A621">
        <v>620</v>
      </c>
      <c r="B621" t="s">
        <v>75</v>
      </c>
      <c r="C621" t="s">
        <v>5</v>
      </c>
      <c r="D621">
        <v>41230</v>
      </c>
      <c r="E621">
        <v>38</v>
      </c>
      <c r="F621">
        <v>2700</v>
      </c>
    </row>
    <row r="622" spans="1:6" x14ac:dyDescent="0.2">
      <c r="A622">
        <v>621</v>
      </c>
      <c r="B622" t="s">
        <v>74</v>
      </c>
      <c r="C622" t="s">
        <v>6</v>
      </c>
      <c r="D622">
        <v>8332</v>
      </c>
      <c r="E622">
        <v>25</v>
      </c>
      <c r="F622">
        <v>1900</v>
      </c>
    </row>
    <row r="623" spans="1:6" x14ac:dyDescent="0.2">
      <c r="A623">
        <v>622</v>
      </c>
      <c r="B623" t="s">
        <v>73</v>
      </c>
      <c r="C623" t="s">
        <v>6</v>
      </c>
      <c r="D623">
        <v>8476</v>
      </c>
      <c r="E623">
        <v>18</v>
      </c>
      <c r="F623">
        <v>1700</v>
      </c>
    </row>
    <row r="624" spans="1:6" x14ac:dyDescent="0.2">
      <c r="A624">
        <v>623</v>
      </c>
      <c r="B624" t="s">
        <v>72</v>
      </c>
      <c r="C624" t="s">
        <v>9</v>
      </c>
      <c r="D624">
        <v>7748</v>
      </c>
      <c r="E624">
        <v>23</v>
      </c>
      <c r="F624">
        <v>1900</v>
      </c>
    </row>
    <row r="625" spans="1:6" x14ac:dyDescent="0.2">
      <c r="A625">
        <v>624</v>
      </c>
      <c r="B625" t="s">
        <v>71</v>
      </c>
      <c r="C625" t="s">
        <v>7</v>
      </c>
      <c r="D625">
        <v>6936</v>
      </c>
      <c r="E625">
        <v>15</v>
      </c>
      <c r="F625">
        <v>1700</v>
      </c>
    </row>
    <row r="626" spans="1:6" x14ac:dyDescent="0.2">
      <c r="A626">
        <v>625</v>
      </c>
      <c r="B626" t="s">
        <v>70</v>
      </c>
      <c r="C626" t="s">
        <v>4</v>
      </c>
      <c r="D626">
        <v>7081</v>
      </c>
      <c r="E626">
        <v>15</v>
      </c>
      <c r="F626">
        <v>1700</v>
      </c>
    </row>
    <row r="627" spans="1:6" x14ac:dyDescent="0.2">
      <c r="A627">
        <v>626</v>
      </c>
      <c r="B627" t="s">
        <v>69</v>
      </c>
      <c r="C627" t="s">
        <v>4</v>
      </c>
      <c r="D627">
        <v>28031</v>
      </c>
      <c r="E627">
        <v>31</v>
      </c>
      <c r="F627">
        <v>2500</v>
      </c>
    </row>
    <row r="628" spans="1:6" x14ac:dyDescent="0.2">
      <c r="A628">
        <v>627</v>
      </c>
      <c r="B628" t="s">
        <v>68</v>
      </c>
      <c r="C628" t="s">
        <v>10</v>
      </c>
      <c r="D628">
        <v>7253</v>
      </c>
      <c r="E628">
        <v>23</v>
      </c>
      <c r="F628">
        <v>1900</v>
      </c>
    </row>
    <row r="629" spans="1:6" x14ac:dyDescent="0.2">
      <c r="A629">
        <v>628</v>
      </c>
      <c r="B629" t="s">
        <v>67</v>
      </c>
      <c r="C629" t="s">
        <v>4</v>
      </c>
      <c r="D629">
        <v>7388</v>
      </c>
      <c r="E629">
        <v>16</v>
      </c>
      <c r="F629">
        <v>1700</v>
      </c>
    </row>
    <row r="630" spans="1:6" x14ac:dyDescent="0.2">
      <c r="A630">
        <v>629</v>
      </c>
      <c r="B630" t="s">
        <v>66</v>
      </c>
      <c r="C630" t="s">
        <v>9</v>
      </c>
      <c r="D630">
        <v>47339</v>
      </c>
      <c r="E630">
        <v>37</v>
      </c>
      <c r="F630">
        <v>2700</v>
      </c>
    </row>
    <row r="631" spans="1:6" x14ac:dyDescent="0.2">
      <c r="A631">
        <v>630</v>
      </c>
      <c r="B631" t="s">
        <v>65</v>
      </c>
      <c r="C631" t="s">
        <v>9</v>
      </c>
      <c r="D631">
        <v>8301</v>
      </c>
      <c r="E631">
        <v>22</v>
      </c>
      <c r="F631">
        <v>1900</v>
      </c>
    </row>
    <row r="632" spans="1:6" x14ac:dyDescent="0.2">
      <c r="A632">
        <v>631</v>
      </c>
      <c r="B632" t="s">
        <v>64</v>
      </c>
      <c r="C632" t="s">
        <v>9</v>
      </c>
      <c r="D632">
        <v>9369</v>
      </c>
      <c r="E632">
        <v>20</v>
      </c>
      <c r="F632">
        <v>1700</v>
      </c>
    </row>
    <row r="633" spans="1:6" x14ac:dyDescent="0.2">
      <c r="A633">
        <v>632</v>
      </c>
      <c r="B633" t="s">
        <v>63</v>
      </c>
      <c r="C633" t="s">
        <v>4</v>
      </c>
      <c r="D633">
        <v>6570</v>
      </c>
      <c r="E633">
        <v>18</v>
      </c>
      <c r="F633">
        <v>1700</v>
      </c>
    </row>
    <row r="634" spans="1:6" x14ac:dyDescent="0.2">
      <c r="A634">
        <v>633</v>
      </c>
      <c r="B634" t="s">
        <v>62</v>
      </c>
      <c r="C634" t="s">
        <v>9</v>
      </c>
      <c r="D634">
        <v>7214</v>
      </c>
      <c r="E634">
        <v>15</v>
      </c>
      <c r="F634">
        <v>1700</v>
      </c>
    </row>
    <row r="635" spans="1:6" x14ac:dyDescent="0.2">
      <c r="A635">
        <v>634</v>
      </c>
      <c r="B635" t="s">
        <v>61</v>
      </c>
      <c r="C635" t="s">
        <v>4</v>
      </c>
      <c r="D635">
        <v>6831</v>
      </c>
      <c r="E635">
        <v>17</v>
      </c>
      <c r="F635">
        <v>1900</v>
      </c>
    </row>
    <row r="636" spans="1:6" x14ac:dyDescent="0.2">
      <c r="A636">
        <v>635</v>
      </c>
      <c r="B636" t="s">
        <v>60</v>
      </c>
      <c r="C636" t="s">
        <v>9</v>
      </c>
      <c r="D636">
        <v>7789</v>
      </c>
      <c r="E636">
        <v>16</v>
      </c>
      <c r="F636">
        <v>1700</v>
      </c>
    </row>
    <row r="637" spans="1:6" x14ac:dyDescent="0.2">
      <c r="A637">
        <v>636</v>
      </c>
      <c r="B637" t="s">
        <v>59</v>
      </c>
      <c r="C637" t="s">
        <v>9</v>
      </c>
      <c r="D637">
        <v>7663</v>
      </c>
      <c r="E637">
        <v>20</v>
      </c>
      <c r="F637">
        <v>1900</v>
      </c>
    </row>
    <row r="638" spans="1:6" x14ac:dyDescent="0.2">
      <c r="A638">
        <v>637</v>
      </c>
      <c r="B638" t="s">
        <v>58</v>
      </c>
      <c r="C638" t="s">
        <v>7</v>
      </c>
      <c r="D638">
        <v>8615</v>
      </c>
      <c r="E638">
        <v>17</v>
      </c>
      <c r="F638">
        <v>1700</v>
      </c>
    </row>
    <row r="639" spans="1:6" x14ac:dyDescent="0.2">
      <c r="A639">
        <v>638</v>
      </c>
      <c r="B639" t="s">
        <v>57</v>
      </c>
      <c r="C639" t="s">
        <v>6</v>
      </c>
      <c r="D639">
        <v>7114</v>
      </c>
      <c r="E639">
        <v>15</v>
      </c>
      <c r="F639">
        <v>1900</v>
      </c>
    </row>
    <row r="640" spans="1:6" x14ac:dyDescent="0.2">
      <c r="A640">
        <v>639</v>
      </c>
      <c r="B640" t="s">
        <v>56</v>
      </c>
      <c r="C640" t="s">
        <v>6</v>
      </c>
      <c r="D640">
        <v>9295</v>
      </c>
      <c r="E640">
        <v>16</v>
      </c>
      <c r="F640">
        <v>1900</v>
      </c>
    </row>
    <row r="641" spans="1:6" x14ac:dyDescent="0.2">
      <c r="A641">
        <v>640</v>
      </c>
      <c r="B641" t="s">
        <v>55</v>
      </c>
      <c r="C641" t="s">
        <v>4</v>
      </c>
      <c r="D641">
        <v>9555</v>
      </c>
      <c r="E641">
        <v>21</v>
      </c>
      <c r="F641">
        <v>1900</v>
      </c>
    </row>
    <row r="642" spans="1:6" x14ac:dyDescent="0.2">
      <c r="A642">
        <v>641</v>
      </c>
      <c r="B642" t="s">
        <v>54</v>
      </c>
      <c r="C642" t="s">
        <v>4</v>
      </c>
      <c r="D642">
        <v>9184</v>
      </c>
      <c r="E642">
        <v>22</v>
      </c>
      <c r="F642">
        <v>1700</v>
      </c>
    </row>
    <row r="643" spans="1:6" x14ac:dyDescent="0.2">
      <c r="A643">
        <v>642</v>
      </c>
      <c r="B643" t="s">
        <v>53</v>
      </c>
      <c r="C643" t="s">
        <v>10</v>
      </c>
      <c r="D643">
        <v>9954</v>
      </c>
      <c r="E643">
        <v>15</v>
      </c>
      <c r="F643">
        <v>1900</v>
      </c>
    </row>
    <row r="644" spans="1:6" x14ac:dyDescent="0.2">
      <c r="A644">
        <v>643</v>
      </c>
      <c r="B644" t="s">
        <v>52</v>
      </c>
      <c r="C644" t="s">
        <v>4</v>
      </c>
      <c r="D644">
        <v>9937</v>
      </c>
      <c r="E644">
        <v>24</v>
      </c>
      <c r="F644">
        <v>1700</v>
      </c>
    </row>
    <row r="645" spans="1:6" x14ac:dyDescent="0.2">
      <c r="A645">
        <v>644</v>
      </c>
      <c r="B645" t="s">
        <v>51</v>
      </c>
      <c r="C645" t="s">
        <v>6</v>
      </c>
      <c r="D645">
        <v>13911</v>
      </c>
      <c r="E645">
        <v>32</v>
      </c>
      <c r="F645">
        <v>2700</v>
      </c>
    </row>
    <row r="646" spans="1:6" x14ac:dyDescent="0.2">
      <c r="A646">
        <v>645</v>
      </c>
      <c r="B646" t="s">
        <v>50</v>
      </c>
      <c r="C646" t="s">
        <v>4</v>
      </c>
      <c r="D646">
        <v>8313</v>
      </c>
      <c r="E646">
        <v>18</v>
      </c>
      <c r="F646">
        <v>1700</v>
      </c>
    </row>
    <row r="647" spans="1:6" x14ac:dyDescent="0.2">
      <c r="A647">
        <v>646</v>
      </c>
      <c r="B647" t="s">
        <v>49</v>
      </c>
      <c r="C647" t="s">
        <v>10</v>
      </c>
      <c r="D647">
        <v>8170</v>
      </c>
      <c r="E647">
        <v>24</v>
      </c>
      <c r="F647">
        <v>1700</v>
      </c>
    </row>
    <row r="648" spans="1:6" x14ac:dyDescent="0.2">
      <c r="A648">
        <v>647</v>
      </c>
      <c r="B648" t="s">
        <v>48</v>
      </c>
      <c r="C648" t="s">
        <v>10</v>
      </c>
      <c r="D648">
        <v>31395</v>
      </c>
      <c r="E648">
        <v>33</v>
      </c>
      <c r="F648">
        <v>2500</v>
      </c>
    </row>
    <row r="649" spans="1:6" x14ac:dyDescent="0.2">
      <c r="A649">
        <v>648</v>
      </c>
      <c r="B649" t="s">
        <v>47</v>
      </c>
      <c r="C649" t="s">
        <v>5</v>
      </c>
      <c r="D649">
        <v>8769</v>
      </c>
      <c r="E649">
        <v>20</v>
      </c>
      <c r="F649">
        <v>1900</v>
      </c>
    </row>
    <row r="650" spans="1:6" x14ac:dyDescent="0.2">
      <c r="A650">
        <v>649</v>
      </c>
      <c r="B650" t="s">
        <v>46</v>
      </c>
      <c r="C650" t="s">
        <v>10</v>
      </c>
      <c r="D650">
        <v>6787</v>
      </c>
      <c r="E650">
        <v>19</v>
      </c>
      <c r="F650">
        <v>1700</v>
      </c>
    </row>
    <row r="651" spans="1:6" x14ac:dyDescent="0.2">
      <c r="A651">
        <v>650</v>
      </c>
      <c r="B651" t="s">
        <v>45</v>
      </c>
      <c r="C651" t="s">
        <v>4</v>
      </c>
      <c r="D651">
        <v>9338</v>
      </c>
      <c r="E651">
        <v>15</v>
      </c>
      <c r="F651">
        <v>1900</v>
      </c>
    </row>
    <row r="652" spans="1:6" x14ac:dyDescent="0.2">
      <c r="A652">
        <v>651</v>
      </c>
      <c r="B652" t="s">
        <v>44</v>
      </c>
      <c r="C652" t="s">
        <v>6</v>
      </c>
      <c r="D652">
        <v>7365</v>
      </c>
      <c r="E652">
        <v>18</v>
      </c>
      <c r="F652">
        <v>1700</v>
      </c>
    </row>
    <row r="653" spans="1:6" x14ac:dyDescent="0.2">
      <c r="A653">
        <v>652</v>
      </c>
      <c r="B653" t="s">
        <v>43</v>
      </c>
      <c r="C653" t="s">
        <v>6</v>
      </c>
      <c r="D653">
        <v>6512</v>
      </c>
      <c r="E653">
        <v>19</v>
      </c>
      <c r="F653">
        <v>1700</v>
      </c>
    </row>
    <row r="654" spans="1:6" x14ac:dyDescent="0.2">
      <c r="A654">
        <v>653</v>
      </c>
      <c r="B654" t="s">
        <v>42</v>
      </c>
      <c r="C654" t="s">
        <v>4</v>
      </c>
      <c r="D654">
        <v>9717</v>
      </c>
      <c r="E654">
        <v>15</v>
      </c>
      <c r="F654">
        <v>1900</v>
      </c>
    </row>
    <row r="655" spans="1:6" x14ac:dyDescent="0.2">
      <c r="A655">
        <v>654</v>
      </c>
      <c r="B655" t="s">
        <v>41</v>
      </c>
      <c r="C655" t="s">
        <v>4</v>
      </c>
      <c r="D655">
        <v>7133</v>
      </c>
      <c r="E655">
        <v>20</v>
      </c>
      <c r="F655">
        <v>1700</v>
      </c>
    </row>
    <row r="656" spans="1:6" x14ac:dyDescent="0.2">
      <c r="A656">
        <v>655</v>
      </c>
      <c r="B656" t="s">
        <v>40</v>
      </c>
      <c r="C656" t="s">
        <v>4</v>
      </c>
      <c r="D656">
        <v>7944</v>
      </c>
      <c r="E656">
        <v>18</v>
      </c>
      <c r="F656">
        <v>1700</v>
      </c>
    </row>
    <row r="657" spans="1:6" x14ac:dyDescent="0.2">
      <c r="A657">
        <v>656</v>
      </c>
      <c r="B657" t="s">
        <v>39</v>
      </c>
      <c r="C657" t="s">
        <v>9</v>
      </c>
      <c r="D657">
        <v>8346</v>
      </c>
      <c r="E657">
        <v>15</v>
      </c>
      <c r="F657">
        <v>1700</v>
      </c>
    </row>
    <row r="658" spans="1:6" x14ac:dyDescent="0.2">
      <c r="A658">
        <v>657</v>
      </c>
      <c r="B658" t="s">
        <v>38</v>
      </c>
      <c r="C658" t="s">
        <v>6</v>
      </c>
      <c r="D658">
        <v>7369</v>
      </c>
      <c r="E658">
        <v>15</v>
      </c>
      <c r="F658">
        <v>1900</v>
      </c>
    </row>
    <row r="659" spans="1:6" x14ac:dyDescent="0.2">
      <c r="A659">
        <v>658</v>
      </c>
      <c r="B659" t="s">
        <v>37</v>
      </c>
      <c r="C659" t="s">
        <v>4</v>
      </c>
      <c r="D659">
        <v>9866</v>
      </c>
      <c r="E659">
        <v>17</v>
      </c>
      <c r="F659">
        <v>1700</v>
      </c>
    </row>
    <row r="660" spans="1:6" x14ac:dyDescent="0.2">
      <c r="A660">
        <v>659</v>
      </c>
      <c r="B660" t="s">
        <v>36</v>
      </c>
      <c r="C660" t="s">
        <v>10</v>
      </c>
      <c r="D660">
        <v>9311</v>
      </c>
      <c r="E660">
        <v>21</v>
      </c>
      <c r="F660">
        <v>1700</v>
      </c>
    </row>
    <row r="661" spans="1:6" x14ac:dyDescent="0.2">
      <c r="A661">
        <v>660</v>
      </c>
      <c r="B661" t="s">
        <v>35</v>
      </c>
      <c r="C661" t="s">
        <v>9</v>
      </c>
      <c r="D661">
        <v>7822</v>
      </c>
      <c r="E661">
        <v>23</v>
      </c>
      <c r="F661">
        <v>1700</v>
      </c>
    </row>
    <row r="662" spans="1:6" x14ac:dyDescent="0.2">
      <c r="A662">
        <v>661</v>
      </c>
      <c r="B662" t="s">
        <v>34</v>
      </c>
      <c r="C662" t="s">
        <v>4</v>
      </c>
      <c r="D662">
        <v>7690</v>
      </c>
      <c r="E662">
        <v>18</v>
      </c>
      <c r="F662">
        <v>1900</v>
      </c>
    </row>
    <row r="663" spans="1:6" x14ac:dyDescent="0.2">
      <c r="A663">
        <v>662</v>
      </c>
      <c r="B663" t="s">
        <v>33</v>
      </c>
      <c r="C663" t="s">
        <v>6</v>
      </c>
      <c r="D663">
        <v>7590</v>
      </c>
      <c r="E663">
        <v>16</v>
      </c>
      <c r="F663">
        <v>1700</v>
      </c>
    </row>
    <row r="664" spans="1:6" x14ac:dyDescent="0.2">
      <c r="A664">
        <v>663</v>
      </c>
      <c r="B664" t="s">
        <v>32</v>
      </c>
      <c r="C664" t="s">
        <v>9</v>
      </c>
      <c r="D664">
        <v>6569</v>
      </c>
      <c r="E664">
        <v>22</v>
      </c>
      <c r="F664">
        <v>1900</v>
      </c>
    </row>
    <row r="665" spans="1:6" x14ac:dyDescent="0.2">
      <c r="A665">
        <v>664</v>
      </c>
      <c r="B665" t="s">
        <v>31</v>
      </c>
      <c r="C665" t="s">
        <v>9</v>
      </c>
      <c r="D665">
        <v>27198</v>
      </c>
      <c r="E665">
        <v>38</v>
      </c>
      <c r="F665">
        <v>2500</v>
      </c>
    </row>
    <row r="666" spans="1:6" x14ac:dyDescent="0.2">
      <c r="A666">
        <v>665</v>
      </c>
      <c r="B666" t="s">
        <v>30</v>
      </c>
      <c r="C666" t="s">
        <v>9</v>
      </c>
      <c r="D666">
        <v>6523</v>
      </c>
      <c r="E666">
        <v>18</v>
      </c>
      <c r="F666">
        <v>1700</v>
      </c>
    </row>
    <row r="667" spans="1:6" x14ac:dyDescent="0.2">
      <c r="A667">
        <v>666</v>
      </c>
      <c r="B667" t="s">
        <v>29</v>
      </c>
      <c r="C667" t="s">
        <v>6</v>
      </c>
      <c r="D667">
        <v>9317</v>
      </c>
      <c r="E667">
        <v>24</v>
      </c>
      <c r="F667">
        <v>1900</v>
      </c>
    </row>
    <row r="668" spans="1:6" x14ac:dyDescent="0.2">
      <c r="A668">
        <v>667</v>
      </c>
      <c r="B668" t="s">
        <v>28</v>
      </c>
      <c r="C668" t="s">
        <v>9</v>
      </c>
      <c r="D668" t="s">
        <v>21</v>
      </c>
      <c r="E668">
        <v>25</v>
      </c>
      <c r="F668">
        <v>1900</v>
      </c>
    </row>
    <row r="669" spans="1:6" x14ac:dyDescent="0.2">
      <c r="A669">
        <v>668</v>
      </c>
      <c r="B669" t="s">
        <v>27</v>
      </c>
      <c r="C669" t="s">
        <v>10</v>
      </c>
      <c r="D669">
        <v>6722</v>
      </c>
      <c r="E669">
        <v>24</v>
      </c>
      <c r="F669">
        <v>1700</v>
      </c>
    </row>
    <row r="670" spans="1:6" x14ac:dyDescent="0.2">
      <c r="A670">
        <v>669</v>
      </c>
      <c r="B670" t="s">
        <v>26</v>
      </c>
      <c r="C670" t="s">
        <v>9</v>
      </c>
      <c r="D670">
        <v>6936</v>
      </c>
      <c r="E670">
        <v>19</v>
      </c>
      <c r="F670">
        <v>1700</v>
      </c>
    </row>
    <row r="671" spans="1:6" x14ac:dyDescent="0.2">
      <c r="A671">
        <v>670</v>
      </c>
      <c r="B671" t="s">
        <v>25</v>
      </c>
      <c r="C671" t="s">
        <v>6</v>
      </c>
      <c r="D671">
        <v>7587</v>
      </c>
      <c r="E671">
        <v>23</v>
      </c>
      <c r="F671">
        <v>1700</v>
      </c>
    </row>
    <row r="672" spans="1:6" x14ac:dyDescent="0.2">
      <c r="A672">
        <v>671</v>
      </c>
      <c r="B672" t="s">
        <v>24</v>
      </c>
      <c r="C672" t="s">
        <v>4</v>
      </c>
      <c r="D672">
        <v>22153</v>
      </c>
      <c r="E672">
        <v>39</v>
      </c>
      <c r="F672">
        <v>2500</v>
      </c>
    </row>
    <row r="673" spans="1:6" x14ac:dyDescent="0.2">
      <c r="A673">
        <v>672</v>
      </c>
      <c r="B673" t="s">
        <v>23</v>
      </c>
      <c r="C673" t="s">
        <v>9</v>
      </c>
      <c r="D673">
        <v>9119</v>
      </c>
      <c r="E673">
        <v>15</v>
      </c>
      <c r="F673">
        <v>1900</v>
      </c>
    </row>
    <row r="674" spans="1:6" x14ac:dyDescent="0.2">
      <c r="A674">
        <v>673</v>
      </c>
      <c r="B674" t="s">
        <v>22</v>
      </c>
      <c r="C674" t="s">
        <v>7</v>
      </c>
      <c r="D674" t="s">
        <v>21</v>
      </c>
      <c r="E674">
        <v>24</v>
      </c>
      <c r="F674">
        <v>1900</v>
      </c>
    </row>
    <row r="675" spans="1:6" x14ac:dyDescent="0.2">
      <c r="A675">
        <v>674</v>
      </c>
      <c r="B675" t="s">
        <v>20</v>
      </c>
      <c r="C675" t="s">
        <v>9</v>
      </c>
      <c r="D675">
        <v>9931</v>
      </c>
      <c r="E675">
        <v>16</v>
      </c>
      <c r="F675">
        <v>1900</v>
      </c>
    </row>
    <row r="676" spans="1:6" x14ac:dyDescent="0.2">
      <c r="A676">
        <v>675</v>
      </c>
      <c r="B676" t="s">
        <v>19</v>
      </c>
      <c r="C676" t="s">
        <v>4</v>
      </c>
      <c r="D676">
        <v>6728</v>
      </c>
      <c r="E676">
        <v>23</v>
      </c>
      <c r="F676">
        <v>1700</v>
      </c>
    </row>
    <row r="677" spans="1:6" x14ac:dyDescent="0.2">
      <c r="A677">
        <v>676</v>
      </c>
      <c r="B677" t="s">
        <v>18</v>
      </c>
      <c r="C677" t="s">
        <v>3</v>
      </c>
      <c r="D677">
        <v>7524</v>
      </c>
      <c r="E677">
        <v>21</v>
      </c>
      <c r="F677">
        <v>1700</v>
      </c>
    </row>
    <row r="678" spans="1:6" x14ac:dyDescent="0.2">
      <c r="A678">
        <v>677</v>
      </c>
      <c r="B678" t="s">
        <v>17</v>
      </c>
      <c r="C678" t="s">
        <v>10</v>
      </c>
      <c r="D678">
        <v>44959</v>
      </c>
      <c r="E678">
        <v>33</v>
      </c>
      <c r="F678">
        <v>2500</v>
      </c>
    </row>
    <row r="679" spans="1:6" x14ac:dyDescent="0.2">
      <c r="A679">
        <v>678</v>
      </c>
      <c r="B679" t="s">
        <v>16</v>
      </c>
      <c r="C679" t="s">
        <v>6</v>
      </c>
      <c r="D679">
        <v>23702</v>
      </c>
      <c r="E679">
        <v>39</v>
      </c>
      <c r="F679">
        <v>2700</v>
      </c>
    </row>
    <row r="680" spans="1:6" x14ac:dyDescent="0.2">
      <c r="A680">
        <v>679</v>
      </c>
      <c r="B680" t="s">
        <v>15</v>
      </c>
      <c r="C680" t="s">
        <v>6</v>
      </c>
      <c r="D680">
        <v>7596</v>
      </c>
      <c r="E680">
        <v>26</v>
      </c>
      <c r="F680">
        <v>1700</v>
      </c>
    </row>
    <row r="681" spans="1:6" x14ac:dyDescent="0.2">
      <c r="A681">
        <v>680</v>
      </c>
      <c r="B681" t="s">
        <v>14</v>
      </c>
      <c r="C681" t="s">
        <v>4</v>
      </c>
      <c r="D681">
        <v>9440</v>
      </c>
      <c r="E681">
        <v>19</v>
      </c>
      <c r="F681">
        <v>1700</v>
      </c>
    </row>
    <row r="682" spans="1:6" x14ac:dyDescent="0.2">
      <c r="A682">
        <v>681</v>
      </c>
      <c r="B682" t="s">
        <v>13</v>
      </c>
      <c r="C682" t="s">
        <v>4</v>
      </c>
      <c r="D682">
        <v>8598</v>
      </c>
      <c r="E682">
        <v>25</v>
      </c>
      <c r="F682">
        <v>1700</v>
      </c>
    </row>
    <row r="683" spans="1:6" x14ac:dyDescent="0.2">
      <c r="A683">
        <v>682</v>
      </c>
      <c r="B683" t="s">
        <v>12</v>
      </c>
      <c r="C683" t="s">
        <v>9</v>
      </c>
      <c r="D683">
        <v>7063</v>
      </c>
      <c r="E683">
        <v>24</v>
      </c>
      <c r="F683">
        <v>1700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C84CC-ECD0-6F4C-976F-C00653C351A5}">
  <dimension ref="A1:L612"/>
  <sheetViews>
    <sheetView workbookViewId="0">
      <selection activeCell="J621" sqref="J621"/>
    </sheetView>
  </sheetViews>
  <sheetFormatPr baseColWidth="10" defaultRowHeight="16" x14ac:dyDescent="0.2"/>
  <cols>
    <col min="2" max="2" width="15.1640625" bestFit="1" customWidth="1"/>
    <col min="3" max="3" width="13.83203125" bestFit="1" customWidth="1"/>
    <col min="4" max="5" width="10.1640625" bestFit="1" customWidth="1"/>
    <col min="6" max="6" width="15.33203125" bestFit="1" customWidth="1"/>
    <col min="7" max="7" width="13.83203125" bestFit="1" customWidth="1"/>
    <col min="9" max="9" width="15" bestFit="1" customWidth="1"/>
    <col min="12" max="12" width="12.83203125" bestFit="1" customWidth="1"/>
  </cols>
  <sheetData>
    <row r="1" spans="1:12" x14ac:dyDescent="0.2">
      <c r="B1" t="s">
        <v>709</v>
      </c>
      <c r="C1" t="s">
        <v>708</v>
      </c>
      <c r="D1" t="s">
        <v>707</v>
      </c>
      <c r="E1" t="s">
        <v>706</v>
      </c>
      <c r="F1" t="s">
        <v>705</v>
      </c>
      <c r="G1" t="s">
        <v>704</v>
      </c>
      <c r="H1" t="s">
        <v>710</v>
      </c>
      <c r="I1" t="s">
        <v>697</v>
      </c>
      <c r="J1" t="s">
        <v>711</v>
      </c>
      <c r="K1" t="s">
        <v>712</v>
      </c>
      <c r="L1" t="s">
        <v>713</v>
      </c>
    </row>
    <row r="2" spans="1:12" x14ac:dyDescent="0.2">
      <c r="A2">
        <v>1</v>
      </c>
      <c r="B2" t="s">
        <v>694</v>
      </c>
      <c r="C2">
        <v>39</v>
      </c>
      <c r="D2">
        <v>56</v>
      </c>
      <c r="E2">
        <v>6</v>
      </c>
      <c r="F2" t="s">
        <v>701</v>
      </c>
      <c r="G2" t="s">
        <v>702</v>
      </c>
      <c r="H2" t="str">
        <f>VLOOKUP(B2,ColesStoreData!$B:$F,2,0)</f>
        <v>QLD</v>
      </c>
      <c r="I2">
        <f>VLOOKUP(B2,ColesStoreData!$B:$F,3,0)</f>
        <v>18445</v>
      </c>
      <c r="J2">
        <f>VLOOKUP(B2,ColesStoreData!$B:$F,5,0)</f>
        <v>2500</v>
      </c>
      <c r="K2">
        <f>D2-E2</f>
        <v>50</v>
      </c>
      <c r="L2" s="1">
        <f>K2/D2</f>
        <v>0.8928571428571429</v>
      </c>
    </row>
    <row r="3" spans="1:12" x14ac:dyDescent="0.2">
      <c r="A3">
        <v>2</v>
      </c>
      <c r="B3" t="s">
        <v>693</v>
      </c>
      <c r="C3">
        <v>22</v>
      </c>
      <c r="D3">
        <v>55</v>
      </c>
      <c r="E3">
        <v>7</v>
      </c>
      <c r="F3" t="s">
        <v>703</v>
      </c>
      <c r="G3" t="s">
        <v>702</v>
      </c>
      <c r="H3" t="str">
        <f>VLOOKUP(B3,ColesStoreData!$B:$F,2,0)</f>
        <v>NSW</v>
      </c>
      <c r="I3">
        <f>VLOOKUP(B3,ColesStoreData!$B:$F,3,0)</f>
        <v>40535</v>
      </c>
      <c r="J3">
        <f>VLOOKUP(B3,ColesStoreData!$B:$F,5,0)</f>
        <v>2500</v>
      </c>
      <c r="K3">
        <f t="shared" ref="K3:K61" si="0">D3-E3</f>
        <v>48</v>
      </c>
      <c r="L3" s="1">
        <f t="shared" ref="L3:L64" si="1">K3/D3</f>
        <v>0.87272727272727268</v>
      </c>
    </row>
    <row r="4" spans="1:12" x14ac:dyDescent="0.2">
      <c r="A4">
        <v>3</v>
      </c>
      <c r="B4" t="s">
        <v>692</v>
      </c>
      <c r="C4">
        <v>36</v>
      </c>
      <c r="D4">
        <v>51</v>
      </c>
      <c r="E4">
        <v>7</v>
      </c>
      <c r="F4" t="s">
        <v>703</v>
      </c>
      <c r="G4" t="s">
        <v>702</v>
      </c>
      <c r="H4" t="str">
        <f>VLOOKUP(B4,ColesStoreData!$B:$F,2,0)</f>
        <v>VIC</v>
      </c>
      <c r="I4">
        <f>VLOOKUP(B4,ColesStoreData!$B:$F,3,0)</f>
        <v>6146</v>
      </c>
      <c r="J4">
        <f>VLOOKUP(B4,ColesStoreData!$B:$F,5,0)</f>
        <v>1900</v>
      </c>
      <c r="K4">
        <f t="shared" si="0"/>
        <v>44</v>
      </c>
      <c r="L4" s="1">
        <f t="shared" si="1"/>
        <v>0.86274509803921573</v>
      </c>
    </row>
    <row r="5" spans="1:12" x14ac:dyDescent="0.2">
      <c r="A5">
        <v>4</v>
      </c>
      <c r="B5" t="s">
        <v>691</v>
      </c>
      <c r="C5">
        <v>48</v>
      </c>
      <c r="D5">
        <v>50</v>
      </c>
      <c r="E5">
        <v>10</v>
      </c>
      <c r="F5" t="s">
        <v>703</v>
      </c>
      <c r="G5" t="s">
        <v>700</v>
      </c>
      <c r="H5" t="str">
        <f>VLOOKUP(B5,ColesStoreData!$B:$F,2,0)</f>
        <v>SA</v>
      </c>
      <c r="I5">
        <f>VLOOKUP(B5,ColesStoreData!$B:$F,3,0)</f>
        <v>9151</v>
      </c>
      <c r="J5">
        <f>VLOOKUP(B5,ColesStoreData!$B:$F,5,0)</f>
        <v>1900</v>
      </c>
      <c r="K5">
        <f t="shared" si="0"/>
        <v>40</v>
      </c>
      <c r="L5" s="1">
        <f t="shared" si="1"/>
        <v>0.8</v>
      </c>
    </row>
    <row r="6" spans="1:12" x14ac:dyDescent="0.2">
      <c r="A6">
        <v>5</v>
      </c>
      <c r="B6" t="s">
        <v>690</v>
      </c>
      <c r="C6">
        <v>23</v>
      </c>
      <c r="D6">
        <v>39</v>
      </c>
      <c r="E6">
        <v>18</v>
      </c>
      <c r="F6" t="s">
        <v>701</v>
      </c>
      <c r="G6" t="s">
        <v>700</v>
      </c>
      <c r="H6" t="str">
        <f>VLOOKUP(B6,ColesStoreData!$B:$F,2,0)</f>
        <v>NSW</v>
      </c>
      <c r="I6">
        <f>VLOOKUP(B6,ColesStoreData!$B:$F,3,0)</f>
        <v>9308</v>
      </c>
      <c r="J6">
        <f>VLOOKUP(B6,ColesStoreData!$B:$F,5,0)</f>
        <v>1700</v>
      </c>
      <c r="K6">
        <f t="shared" si="0"/>
        <v>21</v>
      </c>
      <c r="L6" s="1">
        <f t="shared" si="1"/>
        <v>0.53846153846153844</v>
      </c>
    </row>
    <row r="7" spans="1:12" x14ac:dyDescent="0.2">
      <c r="A7">
        <v>6</v>
      </c>
      <c r="B7" t="s">
        <v>689</v>
      </c>
      <c r="C7">
        <v>38</v>
      </c>
      <c r="D7">
        <v>84</v>
      </c>
      <c r="E7">
        <v>15</v>
      </c>
      <c r="F7" t="s">
        <v>701</v>
      </c>
      <c r="G7" t="s">
        <v>702</v>
      </c>
      <c r="H7" t="str">
        <f>VLOOKUP(B7,ColesStoreData!$B:$F,2,0)</f>
        <v>QLD</v>
      </c>
      <c r="I7">
        <f>VLOOKUP(B7,ColesStoreData!$B:$F,3,0)</f>
        <v>58430</v>
      </c>
      <c r="J7">
        <f>VLOOKUP(B7,ColesStoreData!$B:$F,5,0)</f>
        <v>2500</v>
      </c>
      <c r="K7">
        <f t="shared" si="0"/>
        <v>69</v>
      </c>
      <c r="L7" s="1">
        <f t="shared" si="1"/>
        <v>0.8214285714285714</v>
      </c>
    </row>
    <row r="8" spans="1:12" x14ac:dyDescent="0.2">
      <c r="A8">
        <v>7</v>
      </c>
      <c r="B8" t="s">
        <v>688</v>
      </c>
      <c r="C8">
        <v>31</v>
      </c>
      <c r="D8">
        <v>55</v>
      </c>
      <c r="E8">
        <v>10</v>
      </c>
      <c r="F8" t="s">
        <v>703</v>
      </c>
      <c r="G8" t="s">
        <v>702</v>
      </c>
      <c r="H8" t="str">
        <f>VLOOKUP(B8,ColesStoreData!$B:$F,2,0)</f>
        <v>VIC</v>
      </c>
      <c r="I8">
        <f>VLOOKUP(B8,ColesStoreData!$B:$F,3,0)</f>
        <v>38603</v>
      </c>
      <c r="J8">
        <f>VLOOKUP(B8,ColesStoreData!$B:$F,5,0)</f>
        <v>2500</v>
      </c>
      <c r="K8">
        <f t="shared" si="0"/>
        <v>45</v>
      </c>
      <c r="L8" s="1">
        <f t="shared" si="1"/>
        <v>0.81818181818181823</v>
      </c>
    </row>
    <row r="9" spans="1:12" x14ac:dyDescent="0.2">
      <c r="A9">
        <v>8</v>
      </c>
      <c r="B9" t="s">
        <v>687</v>
      </c>
      <c r="C9">
        <v>38</v>
      </c>
      <c r="D9">
        <v>44</v>
      </c>
      <c r="E9">
        <v>8</v>
      </c>
      <c r="F9" t="s">
        <v>703</v>
      </c>
      <c r="G9" t="s">
        <v>700</v>
      </c>
      <c r="H9" t="str">
        <f>VLOOKUP(B9,ColesStoreData!$B:$F,2,0)</f>
        <v>QLD</v>
      </c>
      <c r="I9">
        <f>VLOOKUP(B9,ColesStoreData!$B:$F,3,0)</f>
        <v>9545</v>
      </c>
      <c r="J9">
        <f>VLOOKUP(B9,ColesStoreData!$B:$F,5,0)</f>
        <v>1700</v>
      </c>
      <c r="K9">
        <f t="shared" si="0"/>
        <v>36</v>
      </c>
      <c r="L9" s="1">
        <f t="shared" si="1"/>
        <v>0.81818181818181823</v>
      </c>
    </row>
    <row r="10" spans="1:12" x14ac:dyDescent="0.2">
      <c r="A10">
        <v>9</v>
      </c>
      <c r="B10" t="s">
        <v>686</v>
      </c>
      <c r="C10">
        <v>30</v>
      </c>
      <c r="D10">
        <v>39</v>
      </c>
      <c r="E10">
        <v>10</v>
      </c>
      <c r="F10" t="s">
        <v>701</v>
      </c>
      <c r="G10" t="s">
        <v>700</v>
      </c>
      <c r="H10" t="str">
        <f>VLOOKUP(B10,ColesStoreData!$B:$F,2,0)</f>
        <v>VIC</v>
      </c>
      <c r="I10">
        <f>VLOOKUP(B10,ColesStoreData!$B:$F,3,0)</f>
        <v>9357</v>
      </c>
      <c r="J10">
        <f>VLOOKUP(B10,ColesStoreData!$B:$F,5,0)</f>
        <v>1700</v>
      </c>
      <c r="K10">
        <f t="shared" si="0"/>
        <v>29</v>
      </c>
      <c r="L10" s="1">
        <f t="shared" si="1"/>
        <v>0.74358974358974361</v>
      </c>
    </row>
    <row r="11" spans="1:12" x14ac:dyDescent="0.2">
      <c r="A11">
        <v>10</v>
      </c>
      <c r="B11" t="s">
        <v>685</v>
      </c>
      <c r="C11">
        <v>44</v>
      </c>
      <c r="D11">
        <v>26</v>
      </c>
      <c r="E11">
        <v>15</v>
      </c>
      <c r="F11" t="s">
        <v>703</v>
      </c>
      <c r="G11" t="s">
        <v>700</v>
      </c>
      <c r="H11" t="str">
        <f>VLOOKUP(B11,ColesStoreData!$B:$F,2,0)</f>
        <v>WA</v>
      </c>
      <c r="I11">
        <f>VLOOKUP(B11,ColesStoreData!$B:$F,3,0)</f>
        <v>8389</v>
      </c>
      <c r="J11">
        <f>VLOOKUP(B11,ColesStoreData!$B:$F,5,0)</f>
        <v>1700</v>
      </c>
      <c r="K11">
        <f t="shared" si="0"/>
        <v>11</v>
      </c>
      <c r="L11" s="1">
        <f t="shared" si="1"/>
        <v>0.42307692307692307</v>
      </c>
    </row>
    <row r="12" spans="1:12" x14ac:dyDescent="0.2">
      <c r="A12">
        <v>11</v>
      </c>
      <c r="B12" t="s">
        <v>684</v>
      </c>
      <c r="C12">
        <v>34</v>
      </c>
      <c r="D12">
        <v>29</v>
      </c>
      <c r="E12">
        <v>13</v>
      </c>
      <c r="F12" t="s">
        <v>703</v>
      </c>
      <c r="G12" t="s">
        <v>700</v>
      </c>
      <c r="H12" t="str">
        <f>VLOOKUP(B12,ColesStoreData!$B:$F,2,0)</f>
        <v>VIC</v>
      </c>
      <c r="I12">
        <f>VLOOKUP(B12,ColesStoreData!$B:$F,3,0)</f>
        <v>8953</v>
      </c>
      <c r="J12">
        <f>VLOOKUP(B12,ColesStoreData!$B:$F,5,0)</f>
        <v>1700</v>
      </c>
      <c r="K12">
        <f t="shared" si="0"/>
        <v>16</v>
      </c>
      <c r="L12" s="1">
        <f t="shared" si="1"/>
        <v>0.55172413793103448</v>
      </c>
    </row>
    <row r="13" spans="1:12" x14ac:dyDescent="0.2">
      <c r="A13">
        <v>12</v>
      </c>
      <c r="B13" t="s">
        <v>683</v>
      </c>
      <c r="C13">
        <v>49</v>
      </c>
      <c r="D13">
        <v>45</v>
      </c>
      <c r="E13">
        <v>9</v>
      </c>
      <c r="F13" t="s">
        <v>701</v>
      </c>
      <c r="G13" t="s">
        <v>700</v>
      </c>
      <c r="H13" t="str">
        <f>VLOOKUP(B13,ColesStoreData!$B:$F,2,0)</f>
        <v>ACT</v>
      </c>
      <c r="I13">
        <f>VLOOKUP(B13,ColesStoreData!$B:$F,3,0)</f>
        <v>7927</v>
      </c>
      <c r="J13">
        <f>VLOOKUP(B13,ColesStoreData!$B:$F,5,0)</f>
        <v>1900</v>
      </c>
      <c r="K13">
        <f t="shared" si="0"/>
        <v>36</v>
      </c>
      <c r="L13" s="1">
        <f t="shared" si="1"/>
        <v>0.8</v>
      </c>
    </row>
    <row r="14" spans="1:12" x14ac:dyDescent="0.2">
      <c r="A14">
        <v>13</v>
      </c>
      <c r="B14" t="s">
        <v>682</v>
      </c>
      <c r="C14">
        <v>37</v>
      </c>
      <c r="D14">
        <v>49</v>
      </c>
      <c r="E14">
        <v>13</v>
      </c>
      <c r="F14" t="s">
        <v>701</v>
      </c>
      <c r="G14" t="s">
        <v>700</v>
      </c>
      <c r="H14" t="str">
        <f>VLOOKUP(B14,ColesStoreData!$B:$F,2,0)</f>
        <v>QLD</v>
      </c>
      <c r="I14">
        <f>VLOOKUP(B14,ColesStoreData!$B:$F,3,0)</f>
        <v>9755</v>
      </c>
      <c r="J14">
        <f>VLOOKUP(B14,ColesStoreData!$B:$F,5,0)</f>
        <v>1900</v>
      </c>
      <c r="K14">
        <f t="shared" si="0"/>
        <v>36</v>
      </c>
      <c r="L14" s="1">
        <f t="shared" si="1"/>
        <v>0.73469387755102045</v>
      </c>
    </row>
    <row r="15" spans="1:12" x14ac:dyDescent="0.2">
      <c r="A15">
        <v>14</v>
      </c>
      <c r="B15" t="s">
        <v>681</v>
      </c>
      <c r="C15">
        <v>21</v>
      </c>
      <c r="D15">
        <v>89</v>
      </c>
      <c r="E15">
        <v>9</v>
      </c>
      <c r="F15" t="s">
        <v>701</v>
      </c>
      <c r="G15" t="s">
        <v>702</v>
      </c>
      <c r="H15" t="str">
        <f>VLOOKUP(B15,ColesStoreData!$B:$F,2,0)</f>
        <v>NSW</v>
      </c>
      <c r="I15">
        <f>VLOOKUP(B15,ColesStoreData!$B:$F,3,0)</f>
        <v>59732</v>
      </c>
      <c r="J15">
        <f>VLOOKUP(B15,ColesStoreData!$B:$F,5,0)</f>
        <v>2500</v>
      </c>
      <c r="K15">
        <f t="shared" si="0"/>
        <v>80</v>
      </c>
      <c r="L15" s="1">
        <f t="shared" si="1"/>
        <v>0.898876404494382</v>
      </c>
    </row>
    <row r="16" spans="1:12" x14ac:dyDescent="0.2">
      <c r="A16">
        <v>15</v>
      </c>
      <c r="B16" t="s">
        <v>680</v>
      </c>
      <c r="C16">
        <v>49</v>
      </c>
      <c r="D16">
        <v>30</v>
      </c>
      <c r="E16">
        <v>10</v>
      </c>
      <c r="F16" t="s">
        <v>701</v>
      </c>
      <c r="G16" t="s">
        <v>700</v>
      </c>
      <c r="H16" t="str">
        <f>VLOOKUP(B16,ColesStoreData!$B:$F,2,0)</f>
        <v>TAS</v>
      </c>
      <c r="I16">
        <f>VLOOKUP(B16,ColesStoreData!$B:$F,3,0)</f>
        <v>8535</v>
      </c>
      <c r="J16">
        <f>VLOOKUP(B16,ColesStoreData!$B:$F,5,0)</f>
        <v>1700</v>
      </c>
      <c r="K16">
        <f t="shared" si="0"/>
        <v>20</v>
      </c>
      <c r="L16" s="1">
        <f t="shared" si="1"/>
        <v>0.66666666666666663</v>
      </c>
    </row>
    <row r="17" spans="1:12" x14ac:dyDescent="0.2">
      <c r="A17">
        <v>16</v>
      </c>
      <c r="B17" t="s">
        <v>679</v>
      </c>
      <c r="C17">
        <v>37</v>
      </c>
      <c r="D17">
        <v>56</v>
      </c>
      <c r="E17">
        <v>9</v>
      </c>
      <c r="F17" t="s">
        <v>701</v>
      </c>
      <c r="G17" t="s">
        <v>702</v>
      </c>
      <c r="H17" t="str">
        <f>VLOOKUP(B17,ColesStoreData!$B:$F,2,0)</f>
        <v>QLD</v>
      </c>
      <c r="I17">
        <f>VLOOKUP(B17,ColesStoreData!$B:$F,3,0)</f>
        <v>44664</v>
      </c>
      <c r="J17">
        <f>VLOOKUP(B17,ColesStoreData!$B:$F,5,0)</f>
        <v>2500</v>
      </c>
      <c r="K17">
        <f t="shared" si="0"/>
        <v>47</v>
      </c>
      <c r="L17" s="1">
        <f t="shared" si="1"/>
        <v>0.8392857142857143</v>
      </c>
    </row>
    <row r="18" spans="1:12" x14ac:dyDescent="0.2">
      <c r="A18">
        <v>17</v>
      </c>
      <c r="B18" t="s">
        <v>678</v>
      </c>
      <c r="C18">
        <v>50</v>
      </c>
      <c r="D18">
        <v>39</v>
      </c>
      <c r="E18">
        <v>13</v>
      </c>
      <c r="F18" t="s">
        <v>703</v>
      </c>
      <c r="G18" t="s">
        <v>700</v>
      </c>
      <c r="H18" t="str">
        <f>VLOOKUP(B18,ColesStoreData!$B:$F,2,0)</f>
        <v>NT</v>
      </c>
      <c r="I18">
        <f>VLOOKUP(B18,ColesStoreData!$B:$F,3,0)</f>
        <v>8255</v>
      </c>
      <c r="J18">
        <f>VLOOKUP(B18,ColesStoreData!$B:$F,5,0)</f>
        <v>1700</v>
      </c>
      <c r="K18">
        <f t="shared" si="0"/>
        <v>26</v>
      </c>
      <c r="L18" s="1">
        <f t="shared" si="1"/>
        <v>0.66666666666666663</v>
      </c>
    </row>
    <row r="19" spans="1:12" x14ac:dyDescent="0.2">
      <c r="A19">
        <v>18</v>
      </c>
      <c r="B19" t="s">
        <v>677</v>
      </c>
      <c r="C19">
        <v>49</v>
      </c>
      <c r="D19">
        <v>56</v>
      </c>
      <c r="E19">
        <v>3</v>
      </c>
      <c r="F19" t="s">
        <v>701</v>
      </c>
      <c r="G19" t="s">
        <v>702</v>
      </c>
      <c r="H19" t="str">
        <f>VLOOKUP(B19,ColesStoreData!$B:$F,2,0)</f>
        <v>ACT</v>
      </c>
      <c r="I19">
        <f>VLOOKUP(B19,ColesStoreData!$B:$F,3,0)</f>
        <v>13319</v>
      </c>
      <c r="J19">
        <f>VLOOKUP(B19,ColesStoreData!$B:$F,5,0)</f>
        <v>2500</v>
      </c>
      <c r="K19">
        <f t="shared" si="0"/>
        <v>53</v>
      </c>
      <c r="L19" s="1">
        <f t="shared" si="1"/>
        <v>0.9464285714285714</v>
      </c>
    </row>
    <row r="20" spans="1:12" x14ac:dyDescent="0.2">
      <c r="A20">
        <v>19</v>
      </c>
      <c r="B20" t="s">
        <v>676</v>
      </c>
      <c r="C20">
        <v>44</v>
      </c>
      <c r="D20">
        <v>29</v>
      </c>
      <c r="E20">
        <v>16</v>
      </c>
      <c r="F20" t="s">
        <v>703</v>
      </c>
      <c r="G20" t="s">
        <v>700</v>
      </c>
      <c r="H20" t="str">
        <f>VLOOKUP(B20,ColesStoreData!$B:$F,2,0)</f>
        <v>WA</v>
      </c>
      <c r="I20">
        <f>VLOOKUP(B20,ColesStoreData!$B:$F,3,0)</f>
        <v>6941</v>
      </c>
      <c r="J20">
        <f>VLOOKUP(B20,ColesStoreData!$B:$F,5,0)</f>
        <v>1700</v>
      </c>
      <c r="K20">
        <f t="shared" si="0"/>
        <v>13</v>
      </c>
      <c r="L20" s="1">
        <f t="shared" si="1"/>
        <v>0.44827586206896552</v>
      </c>
    </row>
    <row r="21" spans="1:12" x14ac:dyDescent="0.2">
      <c r="A21">
        <v>20</v>
      </c>
      <c r="B21" t="s">
        <v>675</v>
      </c>
      <c r="C21">
        <v>44</v>
      </c>
      <c r="D21">
        <v>42</v>
      </c>
      <c r="E21">
        <v>6</v>
      </c>
      <c r="F21" t="s">
        <v>703</v>
      </c>
      <c r="G21" t="s">
        <v>700</v>
      </c>
      <c r="H21" t="str">
        <f>VLOOKUP(B21,ColesStoreData!$B:$F,2,0)</f>
        <v>WA</v>
      </c>
      <c r="I21">
        <f>VLOOKUP(B21,ColesStoreData!$B:$F,3,0)</f>
        <v>9539</v>
      </c>
      <c r="J21">
        <f>VLOOKUP(B21,ColesStoreData!$B:$F,5,0)</f>
        <v>1700</v>
      </c>
      <c r="K21">
        <f t="shared" si="0"/>
        <v>36</v>
      </c>
      <c r="L21" s="1">
        <f t="shared" si="1"/>
        <v>0.8571428571428571</v>
      </c>
    </row>
    <row r="22" spans="1:12" x14ac:dyDescent="0.2">
      <c r="A22">
        <v>21</v>
      </c>
      <c r="B22" t="s">
        <v>674</v>
      </c>
      <c r="C22">
        <v>50</v>
      </c>
      <c r="D22">
        <v>34</v>
      </c>
      <c r="E22">
        <v>12</v>
      </c>
      <c r="F22" t="s">
        <v>701</v>
      </c>
      <c r="G22" t="s">
        <v>700</v>
      </c>
      <c r="H22" t="str">
        <f>VLOOKUP(B22,ColesStoreData!$B:$F,2,0)</f>
        <v>TAS</v>
      </c>
      <c r="I22">
        <f>VLOOKUP(B22,ColesStoreData!$B:$F,3,0)</f>
        <v>8342</v>
      </c>
      <c r="J22">
        <f>VLOOKUP(B22,ColesStoreData!$B:$F,5,0)</f>
        <v>1700</v>
      </c>
      <c r="K22">
        <f t="shared" si="0"/>
        <v>22</v>
      </c>
      <c r="L22" s="1">
        <f t="shared" si="1"/>
        <v>0.6470588235294118</v>
      </c>
    </row>
    <row r="23" spans="1:12" x14ac:dyDescent="0.2">
      <c r="A23">
        <v>22</v>
      </c>
      <c r="B23" t="s">
        <v>673</v>
      </c>
      <c r="C23">
        <v>48</v>
      </c>
      <c r="D23">
        <v>44</v>
      </c>
      <c r="E23">
        <v>9</v>
      </c>
      <c r="F23" t="s">
        <v>701</v>
      </c>
      <c r="G23" t="s">
        <v>700</v>
      </c>
      <c r="H23" t="str">
        <f>VLOOKUP(B23,ColesStoreData!$B:$F,2,0)</f>
        <v>SA</v>
      </c>
      <c r="I23">
        <f>VLOOKUP(B23,ColesStoreData!$B:$F,3,0)</f>
        <v>9850</v>
      </c>
      <c r="J23">
        <f>VLOOKUP(B23,ColesStoreData!$B:$F,5,0)</f>
        <v>1700</v>
      </c>
      <c r="K23">
        <f t="shared" si="0"/>
        <v>35</v>
      </c>
      <c r="L23" s="1">
        <f t="shared" si="1"/>
        <v>0.79545454545454541</v>
      </c>
    </row>
    <row r="24" spans="1:12" x14ac:dyDescent="0.2">
      <c r="A24">
        <v>24</v>
      </c>
      <c r="B24" t="s">
        <v>671</v>
      </c>
      <c r="C24">
        <v>27</v>
      </c>
      <c r="D24">
        <v>53</v>
      </c>
      <c r="E24">
        <v>11</v>
      </c>
      <c r="F24" t="s">
        <v>703</v>
      </c>
      <c r="G24" t="s">
        <v>702</v>
      </c>
      <c r="H24" t="str">
        <f>VLOOKUP(B24,ColesStoreData!$B:$F,2,0)</f>
        <v>NSW</v>
      </c>
      <c r="I24">
        <f>VLOOKUP(B24,ColesStoreData!$B:$F,3,0)</f>
        <v>7566</v>
      </c>
      <c r="J24">
        <f>VLOOKUP(B24,ColesStoreData!$B:$F,5,0)</f>
        <v>1900</v>
      </c>
      <c r="K24">
        <f t="shared" si="0"/>
        <v>42</v>
      </c>
      <c r="L24" s="1">
        <f t="shared" si="1"/>
        <v>0.79245283018867929</v>
      </c>
    </row>
    <row r="25" spans="1:12" x14ac:dyDescent="0.2">
      <c r="A25">
        <v>25</v>
      </c>
      <c r="B25" t="s">
        <v>670</v>
      </c>
      <c r="C25">
        <v>33</v>
      </c>
      <c r="D25">
        <v>49</v>
      </c>
      <c r="E25">
        <v>12</v>
      </c>
      <c r="F25" t="s">
        <v>703</v>
      </c>
      <c r="G25" t="s">
        <v>702</v>
      </c>
      <c r="H25" t="str">
        <f>VLOOKUP(B25,ColesStoreData!$B:$F,2,0)</f>
        <v>VIC</v>
      </c>
      <c r="I25">
        <f>VLOOKUP(B25,ColesStoreData!$B:$F,3,0)</f>
        <v>7221</v>
      </c>
      <c r="J25">
        <f>VLOOKUP(B25,ColesStoreData!$B:$F,5,0)</f>
        <v>1900</v>
      </c>
      <c r="K25">
        <f t="shared" si="0"/>
        <v>37</v>
      </c>
      <c r="L25" s="1">
        <f t="shared" si="1"/>
        <v>0.75510204081632648</v>
      </c>
    </row>
    <row r="26" spans="1:12" x14ac:dyDescent="0.2">
      <c r="A26">
        <v>26</v>
      </c>
      <c r="B26" t="s">
        <v>669</v>
      </c>
      <c r="C26">
        <v>24</v>
      </c>
      <c r="D26">
        <v>36</v>
      </c>
      <c r="E26">
        <v>12</v>
      </c>
      <c r="F26" t="s">
        <v>701</v>
      </c>
      <c r="G26" t="s">
        <v>702</v>
      </c>
      <c r="H26" t="str">
        <f>VLOOKUP(B26,ColesStoreData!$B:$F,2,0)</f>
        <v>NSW</v>
      </c>
      <c r="I26">
        <f>VLOOKUP(B26,ColesStoreData!$B:$F,3,0)</f>
        <v>9149</v>
      </c>
      <c r="J26">
        <f>VLOOKUP(B26,ColesStoreData!$B:$F,5,0)</f>
        <v>1700</v>
      </c>
      <c r="K26">
        <f t="shared" si="0"/>
        <v>24</v>
      </c>
      <c r="L26" s="1">
        <f t="shared" si="1"/>
        <v>0.66666666666666663</v>
      </c>
    </row>
    <row r="27" spans="1:12" x14ac:dyDescent="0.2">
      <c r="A27">
        <v>27</v>
      </c>
      <c r="B27" t="s">
        <v>668</v>
      </c>
      <c r="C27">
        <v>22</v>
      </c>
      <c r="D27">
        <v>34</v>
      </c>
      <c r="E27">
        <v>10</v>
      </c>
      <c r="F27" t="s">
        <v>701</v>
      </c>
      <c r="G27" t="s">
        <v>702</v>
      </c>
      <c r="H27" t="str">
        <f>VLOOKUP(B27,ColesStoreData!$B:$F,2,0)</f>
        <v>NSW</v>
      </c>
      <c r="I27">
        <f>VLOOKUP(B27,ColesStoreData!$B:$F,3,0)</f>
        <v>7358</v>
      </c>
      <c r="J27">
        <f>VLOOKUP(B27,ColesStoreData!$B:$F,5,0)</f>
        <v>1700</v>
      </c>
      <c r="K27">
        <f t="shared" si="0"/>
        <v>24</v>
      </c>
      <c r="L27" s="1">
        <f t="shared" si="1"/>
        <v>0.70588235294117652</v>
      </c>
    </row>
    <row r="28" spans="1:12" x14ac:dyDescent="0.2">
      <c r="A28">
        <v>28</v>
      </c>
      <c r="B28" t="s">
        <v>667</v>
      </c>
      <c r="C28">
        <v>36</v>
      </c>
      <c r="D28">
        <v>43</v>
      </c>
      <c r="E28">
        <v>5</v>
      </c>
      <c r="F28" t="s">
        <v>703</v>
      </c>
      <c r="G28" t="s">
        <v>702</v>
      </c>
      <c r="H28" t="str">
        <f>VLOOKUP(B28,ColesStoreData!$B:$F,2,0)</f>
        <v>VIC</v>
      </c>
      <c r="I28">
        <f>VLOOKUP(B28,ColesStoreData!$B:$F,3,0)</f>
        <v>9657</v>
      </c>
      <c r="J28">
        <f>VLOOKUP(B28,ColesStoreData!$B:$F,5,0)</f>
        <v>1700</v>
      </c>
      <c r="K28">
        <f t="shared" si="0"/>
        <v>38</v>
      </c>
      <c r="L28" s="1">
        <f t="shared" si="1"/>
        <v>0.88372093023255816</v>
      </c>
    </row>
    <row r="29" spans="1:12" x14ac:dyDescent="0.2">
      <c r="A29">
        <v>29</v>
      </c>
      <c r="B29" t="s">
        <v>666</v>
      </c>
      <c r="C29">
        <v>24</v>
      </c>
      <c r="D29">
        <v>53</v>
      </c>
      <c r="E29">
        <v>11</v>
      </c>
      <c r="F29" t="s">
        <v>703</v>
      </c>
      <c r="G29" t="s">
        <v>702</v>
      </c>
      <c r="H29" t="str">
        <f>VLOOKUP(B29,ColesStoreData!$B:$F,2,0)</f>
        <v>NSW</v>
      </c>
      <c r="I29">
        <f>VLOOKUP(B29,ColesStoreData!$B:$F,3,0)</f>
        <v>7431</v>
      </c>
      <c r="J29">
        <f>VLOOKUP(B29,ColesStoreData!$B:$F,5,0)</f>
        <v>1900</v>
      </c>
      <c r="K29">
        <f t="shared" si="0"/>
        <v>42</v>
      </c>
      <c r="L29" s="1">
        <f t="shared" si="1"/>
        <v>0.79245283018867929</v>
      </c>
    </row>
    <row r="30" spans="1:12" x14ac:dyDescent="0.2">
      <c r="A30">
        <v>30</v>
      </c>
      <c r="B30" t="s">
        <v>665</v>
      </c>
      <c r="C30">
        <v>25</v>
      </c>
      <c r="D30">
        <v>42</v>
      </c>
      <c r="E30">
        <v>13</v>
      </c>
      <c r="F30" t="s">
        <v>701</v>
      </c>
      <c r="G30" t="s">
        <v>702</v>
      </c>
      <c r="H30" t="str">
        <f>VLOOKUP(B30,ColesStoreData!$B:$F,2,0)</f>
        <v>NSW</v>
      </c>
      <c r="I30">
        <f>VLOOKUP(B30,ColesStoreData!$B:$F,3,0)</f>
        <v>7250</v>
      </c>
      <c r="J30">
        <f>VLOOKUP(B30,ColesStoreData!$B:$F,5,0)</f>
        <v>1700</v>
      </c>
      <c r="K30">
        <f t="shared" si="0"/>
        <v>29</v>
      </c>
      <c r="L30" s="1">
        <f t="shared" si="1"/>
        <v>0.69047619047619047</v>
      </c>
    </row>
    <row r="31" spans="1:12" x14ac:dyDescent="0.2">
      <c r="A31">
        <v>32</v>
      </c>
      <c r="B31" t="s">
        <v>663</v>
      </c>
      <c r="C31">
        <v>42</v>
      </c>
      <c r="D31">
        <v>55</v>
      </c>
      <c r="E31">
        <v>5</v>
      </c>
      <c r="F31" t="s">
        <v>703</v>
      </c>
      <c r="G31" t="s">
        <v>702</v>
      </c>
      <c r="H31" t="str">
        <f>VLOOKUP(B31,ColesStoreData!$B:$F,2,0)</f>
        <v>QLD</v>
      </c>
      <c r="I31">
        <f>VLOOKUP(B31,ColesStoreData!$B:$F,3,0)</f>
        <v>50859</v>
      </c>
      <c r="J31">
        <f>VLOOKUP(B31,ColesStoreData!$B:$F,5,0)</f>
        <v>2500</v>
      </c>
      <c r="K31">
        <f t="shared" si="0"/>
        <v>50</v>
      </c>
      <c r="L31" s="1">
        <f t="shared" si="1"/>
        <v>0.90909090909090906</v>
      </c>
    </row>
    <row r="32" spans="1:12" x14ac:dyDescent="0.2">
      <c r="A32">
        <v>33</v>
      </c>
      <c r="B32" t="s">
        <v>662</v>
      </c>
      <c r="C32">
        <v>43</v>
      </c>
      <c r="D32">
        <v>31</v>
      </c>
      <c r="E32">
        <v>8</v>
      </c>
      <c r="F32" t="s">
        <v>701</v>
      </c>
      <c r="G32" t="s">
        <v>700</v>
      </c>
      <c r="H32" t="str">
        <f>VLOOKUP(B32,ColesStoreData!$B:$F,2,0)</f>
        <v>QLD</v>
      </c>
      <c r="I32">
        <f>VLOOKUP(B32,ColesStoreData!$B:$F,3,0)</f>
        <v>9122</v>
      </c>
      <c r="J32">
        <f>VLOOKUP(B32,ColesStoreData!$B:$F,5,0)</f>
        <v>1700</v>
      </c>
      <c r="K32">
        <f t="shared" si="0"/>
        <v>23</v>
      </c>
      <c r="L32" s="1">
        <f t="shared" si="1"/>
        <v>0.74193548387096775</v>
      </c>
    </row>
    <row r="33" spans="1:12" x14ac:dyDescent="0.2">
      <c r="A33">
        <v>35</v>
      </c>
      <c r="B33" t="s">
        <v>660</v>
      </c>
      <c r="C33">
        <v>41</v>
      </c>
      <c r="D33">
        <v>47</v>
      </c>
      <c r="E33">
        <v>7</v>
      </c>
      <c r="F33" t="s">
        <v>701</v>
      </c>
      <c r="G33" t="s">
        <v>700</v>
      </c>
      <c r="H33" t="str">
        <f>VLOOKUP(B33,ColesStoreData!$B:$F,2,0)</f>
        <v>QLD</v>
      </c>
      <c r="I33">
        <f>VLOOKUP(B33,ColesStoreData!$B:$F,3,0)</f>
        <v>9741</v>
      </c>
      <c r="J33">
        <f>VLOOKUP(B33,ColesStoreData!$B:$F,5,0)</f>
        <v>1900</v>
      </c>
      <c r="K33">
        <f t="shared" si="0"/>
        <v>40</v>
      </c>
      <c r="L33" s="1">
        <f t="shared" si="1"/>
        <v>0.85106382978723405</v>
      </c>
    </row>
    <row r="34" spans="1:12" x14ac:dyDescent="0.2">
      <c r="A34">
        <v>36</v>
      </c>
      <c r="B34" t="s">
        <v>659</v>
      </c>
      <c r="C34">
        <v>40</v>
      </c>
      <c r="D34">
        <v>29</v>
      </c>
      <c r="E34">
        <v>5</v>
      </c>
      <c r="F34" t="s">
        <v>701</v>
      </c>
      <c r="G34" t="s">
        <v>700</v>
      </c>
      <c r="H34" t="str">
        <f>VLOOKUP(B34,ColesStoreData!$B:$F,2,0)</f>
        <v>QLD</v>
      </c>
      <c r="I34">
        <f>VLOOKUP(B34,ColesStoreData!$B:$F,3,0)</f>
        <v>6948</v>
      </c>
      <c r="J34">
        <f>VLOOKUP(B34,ColesStoreData!$B:$F,5,0)</f>
        <v>1700</v>
      </c>
      <c r="K34">
        <f t="shared" si="0"/>
        <v>24</v>
      </c>
      <c r="L34" s="1">
        <f t="shared" si="1"/>
        <v>0.82758620689655171</v>
      </c>
    </row>
    <row r="35" spans="1:12" x14ac:dyDescent="0.2">
      <c r="A35">
        <v>37</v>
      </c>
      <c r="B35" t="s">
        <v>658</v>
      </c>
      <c r="C35">
        <v>30</v>
      </c>
      <c r="D35">
        <v>59</v>
      </c>
      <c r="E35">
        <v>9</v>
      </c>
      <c r="F35" t="s">
        <v>701</v>
      </c>
      <c r="G35" t="s">
        <v>702</v>
      </c>
      <c r="H35" t="str">
        <f>VLOOKUP(B35,ColesStoreData!$B:$F,2,0)</f>
        <v>VIC</v>
      </c>
      <c r="I35">
        <f>VLOOKUP(B35,ColesStoreData!$B:$F,3,0)</f>
        <v>25397</v>
      </c>
      <c r="J35">
        <f>VLOOKUP(B35,ColesStoreData!$B:$F,5,0)</f>
        <v>2700</v>
      </c>
      <c r="K35">
        <f t="shared" si="0"/>
        <v>50</v>
      </c>
      <c r="L35" s="1">
        <f t="shared" si="1"/>
        <v>0.84745762711864403</v>
      </c>
    </row>
    <row r="36" spans="1:12" x14ac:dyDescent="0.2">
      <c r="A36">
        <v>38</v>
      </c>
      <c r="B36" t="s">
        <v>657</v>
      </c>
      <c r="C36">
        <v>29</v>
      </c>
      <c r="D36">
        <v>50</v>
      </c>
      <c r="E36">
        <v>20</v>
      </c>
      <c r="F36" t="s">
        <v>703</v>
      </c>
      <c r="G36" t="s">
        <v>702</v>
      </c>
      <c r="H36" t="str">
        <f>VLOOKUP(B36,ColesStoreData!$B:$F,2,0)</f>
        <v>VIC</v>
      </c>
      <c r="I36">
        <f>VLOOKUP(B36,ColesStoreData!$B:$F,3,0)</f>
        <v>9534</v>
      </c>
      <c r="J36">
        <f>VLOOKUP(B36,ColesStoreData!$B:$F,5,0)</f>
        <v>1900</v>
      </c>
      <c r="K36">
        <f t="shared" si="0"/>
        <v>30</v>
      </c>
      <c r="L36" s="1">
        <f t="shared" si="1"/>
        <v>0.6</v>
      </c>
    </row>
    <row r="37" spans="1:12" x14ac:dyDescent="0.2">
      <c r="A37">
        <v>39</v>
      </c>
      <c r="B37" t="s">
        <v>656</v>
      </c>
      <c r="C37">
        <v>34</v>
      </c>
      <c r="D37">
        <v>38</v>
      </c>
      <c r="E37">
        <v>6</v>
      </c>
      <c r="F37" t="s">
        <v>703</v>
      </c>
      <c r="G37" t="s">
        <v>700</v>
      </c>
      <c r="H37" t="str">
        <f>VLOOKUP(B37,ColesStoreData!$B:$F,2,0)</f>
        <v>VIC</v>
      </c>
      <c r="I37">
        <f>VLOOKUP(B37,ColesStoreData!$B:$F,3,0)</f>
        <v>9912</v>
      </c>
      <c r="J37">
        <f>VLOOKUP(B37,ColesStoreData!$B:$F,5,0)</f>
        <v>1700</v>
      </c>
      <c r="K37">
        <f t="shared" si="0"/>
        <v>32</v>
      </c>
      <c r="L37" s="1">
        <f t="shared" si="1"/>
        <v>0.84210526315789469</v>
      </c>
    </row>
    <row r="38" spans="1:12" x14ac:dyDescent="0.2">
      <c r="A38">
        <v>40</v>
      </c>
      <c r="B38" t="s">
        <v>655</v>
      </c>
      <c r="C38">
        <v>38</v>
      </c>
      <c r="D38">
        <v>32</v>
      </c>
      <c r="E38">
        <v>10</v>
      </c>
      <c r="F38" t="s">
        <v>703</v>
      </c>
      <c r="G38" t="s">
        <v>700</v>
      </c>
      <c r="H38" t="str">
        <f>VLOOKUP(B38,ColesStoreData!$B:$F,2,0)</f>
        <v>QLD</v>
      </c>
      <c r="I38">
        <f>VLOOKUP(B38,ColesStoreData!$B:$F,3,0)</f>
        <v>7869</v>
      </c>
      <c r="J38">
        <f>VLOOKUP(B38,ColesStoreData!$B:$F,5,0)</f>
        <v>1700</v>
      </c>
      <c r="K38">
        <f t="shared" si="0"/>
        <v>22</v>
      </c>
      <c r="L38" s="1">
        <f t="shared" si="1"/>
        <v>0.6875</v>
      </c>
    </row>
    <row r="39" spans="1:12" x14ac:dyDescent="0.2">
      <c r="A39">
        <v>41</v>
      </c>
      <c r="B39" t="s">
        <v>654</v>
      </c>
      <c r="C39">
        <v>24</v>
      </c>
      <c r="D39">
        <v>30</v>
      </c>
      <c r="E39">
        <v>10</v>
      </c>
      <c r="F39" t="s">
        <v>703</v>
      </c>
      <c r="G39" t="s">
        <v>700</v>
      </c>
      <c r="H39" t="str">
        <f>VLOOKUP(B39,ColesStoreData!$B:$F,2,0)</f>
        <v>NSW</v>
      </c>
      <c r="I39">
        <f>VLOOKUP(B39,ColesStoreData!$B:$F,3,0)</f>
        <v>9097</v>
      </c>
      <c r="J39">
        <f>VLOOKUP(B39,ColesStoreData!$B:$F,5,0)</f>
        <v>1700</v>
      </c>
      <c r="K39">
        <f t="shared" si="0"/>
        <v>20</v>
      </c>
      <c r="L39" s="1">
        <f t="shared" si="1"/>
        <v>0.66666666666666663</v>
      </c>
    </row>
    <row r="40" spans="1:12" x14ac:dyDescent="0.2">
      <c r="A40">
        <v>42</v>
      </c>
      <c r="B40" t="s">
        <v>653</v>
      </c>
      <c r="C40">
        <v>48</v>
      </c>
      <c r="D40">
        <v>55</v>
      </c>
      <c r="E40">
        <v>7</v>
      </c>
      <c r="F40" t="s">
        <v>703</v>
      </c>
      <c r="G40" t="s">
        <v>702</v>
      </c>
      <c r="H40" t="str">
        <f>VLOOKUP(B40,ColesStoreData!$B:$F,2,0)</f>
        <v>SA</v>
      </c>
      <c r="I40">
        <f>VLOOKUP(B40,ColesStoreData!$B:$F,3,0)</f>
        <v>22370</v>
      </c>
      <c r="J40">
        <f>VLOOKUP(B40,ColesStoreData!$B:$F,5,0)</f>
        <v>2500</v>
      </c>
      <c r="K40">
        <f t="shared" si="0"/>
        <v>48</v>
      </c>
      <c r="L40" s="1">
        <f t="shared" si="1"/>
        <v>0.87272727272727268</v>
      </c>
    </row>
    <row r="41" spans="1:12" x14ac:dyDescent="0.2">
      <c r="A41">
        <v>43</v>
      </c>
      <c r="B41" t="s">
        <v>652</v>
      </c>
      <c r="C41">
        <v>28</v>
      </c>
      <c r="D41">
        <v>50</v>
      </c>
      <c r="E41">
        <v>7</v>
      </c>
      <c r="F41" t="s">
        <v>703</v>
      </c>
      <c r="G41" t="s">
        <v>702</v>
      </c>
      <c r="H41" t="str">
        <f>VLOOKUP(B41,ColesStoreData!$B:$F,2,0)</f>
        <v>NSW</v>
      </c>
      <c r="I41">
        <f>VLOOKUP(B41,ColesStoreData!$B:$F,3,0)</f>
        <v>8363</v>
      </c>
      <c r="J41">
        <f>VLOOKUP(B41,ColesStoreData!$B:$F,5,0)</f>
        <v>1900</v>
      </c>
      <c r="K41">
        <f t="shared" si="0"/>
        <v>43</v>
      </c>
      <c r="L41" s="1">
        <f t="shared" si="1"/>
        <v>0.86</v>
      </c>
    </row>
    <row r="42" spans="1:12" x14ac:dyDescent="0.2">
      <c r="A42">
        <v>44</v>
      </c>
      <c r="B42" t="s">
        <v>651</v>
      </c>
      <c r="C42">
        <v>29</v>
      </c>
      <c r="D42">
        <v>33</v>
      </c>
      <c r="E42">
        <v>10</v>
      </c>
      <c r="F42" t="s">
        <v>701</v>
      </c>
      <c r="G42" t="s">
        <v>700</v>
      </c>
      <c r="H42" t="str">
        <f>VLOOKUP(B42,ColesStoreData!$B:$F,2,0)</f>
        <v>VIC</v>
      </c>
      <c r="I42">
        <f>VLOOKUP(B42,ColesStoreData!$B:$F,3,0)</f>
        <v>9242</v>
      </c>
      <c r="J42">
        <f>VLOOKUP(B42,ColesStoreData!$B:$F,5,0)</f>
        <v>1700</v>
      </c>
      <c r="K42">
        <f t="shared" si="0"/>
        <v>23</v>
      </c>
      <c r="L42" s="1">
        <f t="shared" si="1"/>
        <v>0.69696969696969702</v>
      </c>
    </row>
    <row r="43" spans="1:12" x14ac:dyDescent="0.2">
      <c r="A43">
        <v>45</v>
      </c>
      <c r="B43" t="s">
        <v>650</v>
      </c>
      <c r="C43">
        <v>49</v>
      </c>
      <c r="D43">
        <v>38</v>
      </c>
      <c r="E43">
        <v>10</v>
      </c>
      <c r="F43" t="s">
        <v>701</v>
      </c>
      <c r="G43" t="s">
        <v>700</v>
      </c>
      <c r="H43" t="str">
        <f>VLOOKUP(B43,ColesStoreData!$B:$F,2,0)</f>
        <v>ACT</v>
      </c>
      <c r="I43">
        <f>VLOOKUP(B43,ColesStoreData!$B:$F,3,0)</f>
        <v>9026</v>
      </c>
      <c r="J43">
        <f>VLOOKUP(B43,ColesStoreData!$B:$F,5,0)</f>
        <v>1700</v>
      </c>
      <c r="K43">
        <f t="shared" si="0"/>
        <v>28</v>
      </c>
      <c r="L43" s="1">
        <f t="shared" si="1"/>
        <v>0.73684210526315785</v>
      </c>
    </row>
    <row r="44" spans="1:12" x14ac:dyDescent="0.2">
      <c r="A44">
        <v>46</v>
      </c>
      <c r="B44" t="s">
        <v>649</v>
      </c>
      <c r="C44">
        <v>28</v>
      </c>
      <c r="D44">
        <v>25</v>
      </c>
      <c r="E44">
        <v>8</v>
      </c>
      <c r="F44" t="s">
        <v>703</v>
      </c>
      <c r="G44" t="s">
        <v>700</v>
      </c>
      <c r="H44" t="str">
        <f>VLOOKUP(B44,ColesStoreData!$B:$F,2,0)</f>
        <v>NSW</v>
      </c>
      <c r="I44">
        <f>VLOOKUP(B44,ColesStoreData!$B:$F,3,0)</f>
        <v>9015</v>
      </c>
      <c r="J44">
        <f>VLOOKUP(B44,ColesStoreData!$B:$F,5,0)</f>
        <v>1700</v>
      </c>
      <c r="K44">
        <f t="shared" si="0"/>
        <v>17</v>
      </c>
      <c r="L44" s="1">
        <f t="shared" si="1"/>
        <v>0.68</v>
      </c>
    </row>
    <row r="45" spans="1:12" x14ac:dyDescent="0.2">
      <c r="A45">
        <v>47</v>
      </c>
      <c r="B45" t="s">
        <v>648</v>
      </c>
      <c r="C45">
        <v>45</v>
      </c>
      <c r="D45">
        <v>40</v>
      </c>
      <c r="E45">
        <v>6</v>
      </c>
      <c r="F45" t="s">
        <v>701</v>
      </c>
      <c r="G45" t="s">
        <v>700</v>
      </c>
      <c r="H45" t="str">
        <f>VLOOKUP(B45,ColesStoreData!$B:$F,2,0)</f>
        <v>WA</v>
      </c>
      <c r="I45">
        <f>VLOOKUP(B45,ColesStoreData!$B:$F,3,0)</f>
        <v>9319</v>
      </c>
      <c r="J45">
        <f>VLOOKUP(B45,ColesStoreData!$B:$F,5,0)</f>
        <v>1700</v>
      </c>
      <c r="K45">
        <f t="shared" si="0"/>
        <v>34</v>
      </c>
      <c r="L45" s="1">
        <f t="shared" si="1"/>
        <v>0.85</v>
      </c>
    </row>
    <row r="46" spans="1:12" x14ac:dyDescent="0.2">
      <c r="A46">
        <v>48</v>
      </c>
      <c r="B46" t="s">
        <v>647</v>
      </c>
      <c r="C46">
        <v>26</v>
      </c>
      <c r="D46">
        <v>53</v>
      </c>
      <c r="E46">
        <v>11</v>
      </c>
      <c r="F46" t="s">
        <v>703</v>
      </c>
      <c r="G46" t="s">
        <v>702</v>
      </c>
      <c r="H46" t="str">
        <f>VLOOKUP(B46,ColesStoreData!$B:$F,2,0)</f>
        <v>NSW</v>
      </c>
      <c r="I46">
        <f>VLOOKUP(B46,ColesStoreData!$B:$F,3,0)</f>
        <v>8105</v>
      </c>
      <c r="J46">
        <f>VLOOKUP(B46,ColesStoreData!$B:$F,5,0)</f>
        <v>1900</v>
      </c>
      <c r="K46">
        <f t="shared" si="0"/>
        <v>42</v>
      </c>
      <c r="L46" s="1">
        <f t="shared" si="1"/>
        <v>0.79245283018867929</v>
      </c>
    </row>
    <row r="47" spans="1:12" x14ac:dyDescent="0.2">
      <c r="A47">
        <v>49</v>
      </c>
      <c r="B47" t="s">
        <v>646</v>
      </c>
      <c r="C47">
        <v>41</v>
      </c>
      <c r="D47">
        <v>50</v>
      </c>
      <c r="E47">
        <v>9</v>
      </c>
      <c r="F47" t="s">
        <v>701</v>
      </c>
      <c r="G47" t="s">
        <v>702</v>
      </c>
      <c r="H47" t="str">
        <f>VLOOKUP(B47,ColesStoreData!$B:$F,2,0)</f>
        <v>QLD</v>
      </c>
      <c r="I47">
        <f>VLOOKUP(B47,ColesStoreData!$B:$F,3,0)</f>
        <v>7875</v>
      </c>
      <c r="J47">
        <f>VLOOKUP(B47,ColesStoreData!$B:$F,5,0)</f>
        <v>1900</v>
      </c>
      <c r="K47">
        <f t="shared" si="0"/>
        <v>41</v>
      </c>
      <c r="L47" s="1">
        <f t="shared" si="1"/>
        <v>0.82</v>
      </c>
    </row>
    <row r="48" spans="1:12" x14ac:dyDescent="0.2">
      <c r="A48">
        <v>50</v>
      </c>
      <c r="B48" t="s">
        <v>645</v>
      </c>
      <c r="C48">
        <v>23</v>
      </c>
      <c r="D48">
        <v>35</v>
      </c>
      <c r="E48">
        <v>12</v>
      </c>
      <c r="F48" t="s">
        <v>701</v>
      </c>
      <c r="G48" t="s">
        <v>702</v>
      </c>
      <c r="H48" t="str">
        <f>VLOOKUP(B48,ColesStoreData!$B:$F,2,0)</f>
        <v>NSW</v>
      </c>
      <c r="I48">
        <f>VLOOKUP(B48,ColesStoreData!$B:$F,3,0)</f>
        <v>7735</v>
      </c>
      <c r="J48">
        <f>VLOOKUP(B48,ColesStoreData!$B:$F,5,0)</f>
        <v>1700</v>
      </c>
      <c r="K48">
        <f t="shared" si="0"/>
        <v>23</v>
      </c>
      <c r="L48" s="1">
        <f t="shared" si="1"/>
        <v>0.65714285714285714</v>
      </c>
    </row>
    <row r="49" spans="1:12" x14ac:dyDescent="0.2">
      <c r="A49">
        <v>51</v>
      </c>
      <c r="B49" t="s">
        <v>644</v>
      </c>
      <c r="C49">
        <v>31</v>
      </c>
      <c r="D49">
        <v>79</v>
      </c>
      <c r="E49">
        <v>10</v>
      </c>
      <c r="F49" t="s">
        <v>703</v>
      </c>
      <c r="G49" t="s">
        <v>702</v>
      </c>
      <c r="H49" t="str">
        <f>VLOOKUP(B49,ColesStoreData!$B:$F,2,0)</f>
        <v>VIC</v>
      </c>
      <c r="I49">
        <f>VLOOKUP(B49,ColesStoreData!$B:$F,3,0)</f>
        <v>58191</v>
      </c>
      <c r="J49">
        <f>VLOOKUP(B49,ColesStoreData!$B:$F,5,0)</f>
        <v>2700</v>
      </c>
      <c r="K49">
        <f t="shared" si="0"/>
        <v>69</v>
      </c>
      <c r="L49" s="1">
        <f t="shared" si="1"/>
        <v>0.87341772151898733</v>
      </c>
    </row>
    <row r="50" spans="1:12" x14ac:dyDescent="0.2">
      <c r="A50">
        <v>52</v>
      </c>
      <c r="B50" t="s">
        <v>643</v>
      </c>
      <c r="C50">
        <v>48</v>
      </c>
      <c r="D50">
        <v>45</v>
      </c>
      <c r="E50">
        <v>8</v>
      </c>
      <c r="F50" t="s">
        <v>701</v>
      </c>
      <c r="G50" t="s">
        <v>700</v>
      </c>
      <c r="H50" t="str">
        <f>VLOOKUP(B50,ColesStoreData!$B:$F,2,0)</f>
        <v>SA</v>
      </c>
      <c r="I50">
        <f>VLOOKUP(B50,ColesStoreData!$B:$F,3,0)</f>
        <v>8999</v>
      </c>
      <c r="J50">
        <f>VLOOKUP(B50,ColesStoreData!$B:$F,5,0)</f>
        <v>1900</v>
      </c>
      <c r="K50">
        <f t="shared" si="0"/>
        <v>37</v>
      </c>
      <c r="L50" s="1">
        <f t="shared" si="1"/>
        <v>0.82222222222222219</v>
      </c>
    </row>
    <row r="51" spans="1:12" x14ac:dyDescent="0.2">
      <c r="A51">
        <v>53</v>
      </c>
      <c r="B51" t="s">
        <v>642</v>
      </c>
      <c r="C51">
        <v>25</v>
      </c>
      <c r="D51">
        <v>41</v>
      </c>
      <c r="E51">
        <v>9</v>
      </c>
      <c r="F51" t="s">
        <v>701</v>
      </c>
      <c r="G51" t="s">
        <v>702</v>
      </c>
      <c r="H51" t="str">
        <f>VLOOKUP(B51,ColesStoreData!$B:$F,2,0)</f>
        <v>NSW</v>
      </c>
      <c r="I51">
        <f>VLOOKUP(B51,ColesStoreData!$B:$F,3,0)</f>
        <v>8194</v>
      </c>
      <c r="J51">
        <f>VLOOKUP(B51,ColesStoreData!$B:$F,5,0)</f>
        <v>1700</v>
      </c>
      <c r="K51">
        <f t="shared" si="0"/>
        <v>32</v>
      </c>
      <c r="L51" s="1">
        <f t="shared" si="1"/>
        <v>0.78048780487804881</v>
      </c>
    </row>
    <row r="52" spans="1:12" x14ac:dyDescent="0.2">
      <c r="A52">
        <v>54</v>
      </c>
      <c r="B52" t="s">
        <v>641</v>
      </c>
      <c r="C52">
        <v>44</v>
      </c>
      <c r="D52">
        <v>54</v>
      </c>
      <c r="E52">
        <v>10</v>
      </c>
      <c r="F52" t="s">
        <v>703</v>
      </c>
      <c r="G52" t="s">
        <v>702</v>
      </c>
      <c r="H52" t="str">
        <f>VLOOKUP(B52,ColesStoreData!$B:$F,2,0)</f>
        <v>WA</v>
      </c>
      <c r="I52">
        <f>VLOOKUP(B52,ColesStoreData!$B:$F,3,0)</f>
        <v>17557</v>
      </c>
      <c r="J52">
        <f>VLOOKUP(B52,ColesStoreData!$B:$F,5,0)</f>
        <v>2500</v>
      </c>
      <c r="K52">
        <f t="shared" si="0"/>
        <v>44</v>
      </c>
      <c r="L52" s="1">
        <f t="shared" si="1"/>
        <v>0.81481481481481477</v>
      </c>
    </row>
    <row r="53" spans="1:12" x14ac:dyDescent="0.2">
      <c r="A53">
        <v>56</v>
      </c>
      <c r="B53" t="s">
        <v>639</v>
      </c>
      <c r="C53">
        <v>34</v>
      </c>
      <c r="D53">
        <v>35</v>
      </c>
      <c r="E53">
        <v>5</v>
      </c>
      <c r="F53" t="s">
        <v>703</v>
      </c>
      <c r="G53" t="s">
        <v>700</v>
      </c>
      <c r="H53" t="str">
        <f>VLOOKUP(B53,ColesStoreData!$B:$F,2,0)</f>
        <v>VIC</v>
      </c>
      <c r="I53">
        <f>VLOOKUP(B53,ColesStoreData!$B:$F,3,0)</f>
        <v>8796</v>
      </c>
      <c r="J53">
        <f>VLOOKUP(B53,ColesStoreData!$B:$F,5,0)</f>
        <v>1700</v>
      </c>
      <c r="K53">
        <f t="shared" si="0"/>
        <v>30</v>
      </c>
      <c r="L53" s="1">
        <f t="shared" si="1"/>
        <v>0.8571428571428571</v>
      </c>
    </row>
    <row r="54" spans="1:12" x14ac:dyDescent="0.2">
      <c r="A54">
        <v>57</v>
      </c>
      <c r="B54" t="s">
        <v>638</v>
      </c>
      <c r="C54">
        <v>45</v>
      </c>
      <c r="D54">
        <v>42</v>
      </c>
      <c r="E54">
        <v>9</v>
      </c>
      <c r="F54" t="s">
        <v>701</v>
      </c>
      <c r="G54" t="s">
        <v>700</v>
      </c>
      <c r="H54" t="str">
        <f>VLOOKUP(B54,ColesStoreData!$B:$F,2,0)</f>
        <v>WA</v>
      </c>
      <c r="I54">
        <f>VLOOKUP(B54,ColesStoreData!$B:$F,3,0)</f>
        <v>7849</v>
      </c>
      <c r="J54">
        <f>VLOOKUP(B54,ColesStoreData!$B:$F,5,0)</f>
        <v>1700</v>
      </c>
      <c r="K54">
        <f t="shared" si="0"/>
        <v>33</v>
      </c>
      <c r="L54" s="1">
        <f t="shared" si="1"/>
        <v>0.7857142857142857</v>
      </c>
    </row>
    <row r="55" spans="1:12" x14ac:dyDescent="0.2">
      <c r="A55">
        <v>58</v>
      </c>
      <c r="B55" t="s">
        <v>637</v>
      </c>
      <c r="C55">
        <v>27</v>
      </c>
      <c r="D55">
        <v>40</v>
      </c>
      <c r="E55">
        <v>13</v>
      </c>
      <c r="F55" t="s">
        <v>703</v>
      </c>
      <c r="G55" t="s">
        <v>702</v>
      </c>
      <c r="H55" t="str">
        <f>VLOOKUP(B55,ColesStoreData!$B:$F,2,0)</f>
        <v>NSW</v>
      </c>
      <c r="I55">
        <f>VLOOKUP(B55,ColesStoreData!$B:$F,3,0)</f>
        <v>8839</v>
      </c>
      <c r="J55">
        <f>VLOOKUP(B55,ColesStoreData!$B:$F,5,0)</f>
        <v>1700</v>
      </c>
      <c r="K55">
        <f t="shared" si="0"/>
        <v>27</v>
      </c>
      <c r="L55" s="1">
        <f t="shared" si="1"/>
        <v>0.67500000000000004</v>
      </c>
    </row>
    <row r="56" spans="1:12" x14ac:dyDescent="0.2">
      <c r="A56">
        <v>59</v>
      </c>
      <c r="B56" t="s">
        <v>636</v>
      </c>
      <c r="C56">
        <v>28</v>
      </c>
      <c r="D56">
        <v>39</v>
      </c>
      <c r="E56">
        <v>9</v>
      </c>
      <c r="F56" t="s">
        <v>703</v>
      </c>
      <c r="G56" t="s">
        <v>702</v>
      </c>
      <c r="H56" t="str">
        <f>VLOOKUP(B56,ColesStoreData!$B:$F,2,0)</f>
        <v>NSW</v>
      </c>
      <c r="I56">
        <f>VLOOKUP(B56,ColesStoreData!$B:$F,3,0)</f>
        <v>6624</v>
      </c>
      <c r="J56">
        <f>VLOOKUP(B56,ColesStoreData!$B:$F,5,0)</f>
        <v>1700</v>
      </c>
      <c r="K56">
        <f t="shared" si="0"/>
        <v>30</v>
      </c>
      <c r="L56" s="1">
        <f t="shared" si="1"/>
        <v>0.76923076923076927</v>
      </c>
    </row>
    <row r="57" spans="1:12" x14ac:dyDescent="0.2">
      <c r="A57">
        <v>61</v>
      </c>
      <c r="B57" t="s">
        <v>634</v>
      </c>
      <c r="C57">
        <v>29</v>
      </c>
      <c r="D57">
        <v>43</v>
      </c>
      <c r="E57">
        <v>12</v>
      </c>
      <c r="F57" t="s">
        <v>701</v>
      </c>
      <c r="G57" t="s">
        <v>702</v>
      </c>
      <c r="H57" t="str">
        <f>VLOOKUP(B57,ColesStoreData!$B:$F,2,0)</f>
        <v>VIC</v>
      </c>
      <c r="I57">
        <f>VLOOKUP(B57,ColesStoreData!$B:$F,3,0)</f>
        <v>8337</v>
      </c>
      <c r="J57">
        <f>VLOOKUP(B57,ColesStoreData!$B:$F,5,0)</f>
        <v>1700</v>
      </c>
      <c r="K57">
        <f t="shared" si="0"/>
        <v>31</v>
      </c>
      <c r="L57" s="1">
        <f t="shared" si="1"/>
        <v>0.72093023255813948</v>
      </c>
    </row>
    <row r="58" spans="1:12" x14ac:dyDescent="0.2">
      <c r="A58">
        <v>62</v>
      </c>
      <c r="B58" t="s">
        <v>633</v>
      </c>
      <c r="C58">
        <v>36</v>
      </c>
      <c r="D58">
        <v>47</v>
      </c>
      <c r="E58">
        <v>10</v>
      </c>
      <c r="F58" t="s">
        <v>701</v>
      </c>
      <c r="G58" t="s">
        <v>702</v>
      </c>
      <c r="H58" t="str">
        <f>VLOOKUP(B58,ColesStoreData!$B:$F,2,0)</f>
        <v>VIC</v>
      </c>
      <c r="I58">
        <f>VLOOKUP(B58,ColesStoreData!$B:$F,3,0)</f>
        <v>7851</v>
      </c>
      <c r="J58">
        <f>VLOOKUP(B58,ColesStoreData!$B:$F,5,0)</f>
        <v>1900</v>
      </c>
      <c r="K58">
        <f t="shared" si="0"/>
        <v>37</v>
      </c>
      <c r="L58" s="1">
        <f t="shared" si="1"/>
        <v>0.78723404255319152</v>
      </c>
    </row>
    <row r="59" spans="1:12" x14ac:dyDescent="0.2">
      <c r="A59">
        <v>63</v>
      </c>
      <c r="B59" t="s">
        <v>632</v>
      </c>
      <c r="C59">
        <v>48</v>
      </c>
      <c r="D59">
        <v>50</v>
      </c>
      <c r="E59">
        <v>6</v>
      </c>
      <c r="F59" t="s">
        <v>701</v>
      </c>
      <c r="G59" t="s">
        <v>700</v>
      </c>
      <c r="H59" t="str">
        <f>VLOOKUP(B59,ColesStoreData!$B:$F,2,0)</f>
        <v>SA</v>
      </c>
      <c r="I59">
        <f>VLOOKUP(B59,ColesStoreData!$B:$F,3,0)</f>
        <v>8173</v>
      </c>
      <c r="J59">
        <f>VLOOKUP(B59,ColesStoreData!$B:$F,5,0)</f>
        <v>1900</v>
      </c>
      <c r="K59">
        <f t="shared" si="0"/>
        <v>44</v>
      </c>
      <c r="L59" s="1">
        <f t="shared" si="1"/>
        <v>0.88</v>
      </c>
    </row>
    <row r="60" spans="1:12" x14ac:dyDescent="0.2">
      <c r="A60">
        <v>64</v>
      </c>
      <c r="B60" t="s">
        <v>631</v>
      </c>
      <c r="C60">
        <v>42</v>
      </c>
      <c r="D60">
        <v>56</v>
      </c>
      <c r="E60">
        <v>13</v>
      </c>
      <c r="F60" t="s">
        <v>703</v>
      </c>
      <c r="G60" t="s">
        <v>702</v>
      </c>
      <c r="H60" t="str">
        <f>VLOOKUP(B60,ColesStoreData!$B:$F,2,0)</f>
        <v>QLD</v>
      </c>
      <c r="I60">
        <f>VLOOKUP(B60,ColesStoreData!$B:$F,3,0)</f>
        <v>51428</v>
      </c>
      <c r="J60">
        <f>VLOOKUP(B60,ColesStoreData!$B:$F,5,0)</f>
        <v>2500</v>
      </c>
      <c r="K60">
        <f t="shared" si="0"/>
        <v>43</v>
      </c>
      <c r="L60" s="1">
        <f t="shared" si="1"/>
        <v>0.7678571428571429</v>
      </c>
    </row>
    <row r="61" spans="1:12" x14ac:dyDescent="0.2">
      <c r="A61">
        <v>65</v>
      </c>
      <c r="B61" t="s">
        <v>630</v>
      </c>
      <c r="C61">
        <v>41</v>
      </c>
      <c r="D61">
        <v>41</v>
      </c>
      <c r="E61">
        <v>11</v>
      </c>
      <c r="F61" t="s">
        <v>701</v>
      </c>
      <c r="G61" t="s">
        <v>700</v>
      </c>
      <c r="H61" t="str">
        <f>VLOOKUP(B61,ColesStoreData!$B:$F,2,0)</f>
        <v>QLD</v>
      </c>
      <c r="I61">
        <f>VLOOKUP(B61,ColesStoreData!$B:$F,3,0)</f>
        <v>9593</v>
      </c>
      <c r="J61">
        <f>VLOOKUP(B61,ColesStoreData!$B:$F,5,0)</f>
        <v>1700</v>
      </c>
      <c r="K61">
        <f t="shared" si="0"/>
        <v>30</v>
      </c>
      <c r="L61" s="1">
        <f t="shared" si="1"/>
        <v>0.73170731707317072</v>
      </c>
    </row>
    <row r="62" spans="1:12" x14ac:dyDescent="0.2">
      <c r="A62">
        <v>66</v>
      </c>
      <c r="B62" t="s">
        <v>629</v>
      </c>
      <c r="C62">
        <v>50</v>
      </c>
      <c r="D62">
        <v>36</v>
      </c>
      <c r="E62">
        <v>11</v>
      </c>
      <c r="F62" t="s">
        <v>701</v>
      </c>
      <c r="G62" t="s">
        <v>700</v>
      </c>
      <c r="H62" t="str">
        <f>VLOOKUP(B62,ColesStoreData!$B:$F,2,0)</f>
        <v>TAS</v>
      </c>
      <c r="I62">
        <f>VLOOKUP(B62,ColesStoreData!$B:$F,3,0)</f>
        <v>7207</v>
      </c>
      <c r="J62">
        <f>VLOOKUP(B62,ColesStoreData!$B:$F,5,0)</f>
        <v>1700</v>
      </c>
      <c r="K62">
        <f t="shared" ref="K62:K118" si="2">D62-E62</f>
        <v>25</v>
      </c>
      <c r="L62" s="1">
        <f t="shared" si="1"/>
        <v>0.69444444444444442</v>
      </c>
    </row>
    <row r="63" spans="1:12" x14ac:dyDescent="0.2">
      <c r="A63">
        <v>67</v>
      </c>
      <c r="B63" t="s">
        <v>628</v>
      </c>
      <c r="C63">
        <v>26</v>
      </c>
      <c r="D63">
        <v>59</v>
      </c>
      <c r="E63">
        <v>11</v>
      </c>
      <c r="F63" t="s">
        <v>703</v>
      </c>
      <c r="G63" t="s">
        <v>702</v>
      </c>
      <c r="H63" t="str">
        <f>VLOOKUP(B63,ColesStoreData!$B:$F,2,0)</f>
        <v>NSW</v>
      </c>
      <c r="I63">
        <f>VLOOKUP(B63,ColesStoreData!$B:$F,3,0)</f>
        <v>28776</v>
      </c>
      <c r="J63">
        <f>VLOOKUP(B63,ColesStoreData!$B:$F,5,0)</f>
        <v>2700</v>
      </c>
      <c r="K63">
        <f t="shared" si="2"/>
        <v>48</v>
      </c>
      <c r="L63" s="1">
        <f t="shared" si="1"/>
        <v>0.81355932203389836</v>
      </c>
    </row>
    <row r="64" spans="1:12" x14ac:dyDescent="0.2">
      <c r="A64">
        <v>68</v>
      </c>
      <c r="B64" t="s">
        <v>627</v>
      </c>
      <c r="C64">
        <v>24</v>
      </c>
      <c r="D64">
        <v>48</v>
      </c>
      <c r="E64">
        <v>11</v>
      </c>
      <c r="F64" t="s">
        <v>703</v>
      </c>
      <c r="G64" t="s">
        <v>702</v>
      </c>
      <c r="H64" t="str">
        <f>VLOOKUP(B64,ColesStoreData!$B:$F,2,0)</f>
        <v>NSW</v>
      </c>
      <c r="I64">
        <f>VLOOKUP(B64,ColesStoreData!$B:$F,3,0)</f>
        <v>8926</v>
      </c>
      <c r="J64">
        <f>VLOOKUP(B64,ColesStoreData!$B:$F,5,0)</f>
        <v>1900</v>
      </c>
      <c r="K64">
        <f t="shared" si="2"/>
        <v>37</v>
      </c>
      <c r="L64" s="1">
        <f t="shared" si="1"/>
        <v>0.77083333333333337</v>
      </c>
    </row>
    <row r="65" spans="1:12" x14ac:dyDescent="0.2">
      <c r="A65">
        <v>69</v>
      </c>
      <c r="B65" t="s">
        <v>626</v>
      </c>
      <c r="C65">
        <v>35</v>
      </c>
      <c r="D65">
        <v>49</v>
      </c>
      <c r="E65">
        <v>14</v>
      </c>
      <c r="F65" t="s">
        <v>701</v>
      </c>
      <c r="G65" t="s">
        <v>702</v>
      </c>
      <c r="H65" t="str">
        <f>VLOOKUP(B65,ColesStoreData!$B:$F,2,0)</f>
        <v>VIC</v>
      </c>
      <c r="I65">
        <f>VLOOKUP(B65,ColesStoreData!$B:$F,3,0)</f>
        <v>7378</v>
      </c>
      <c r="J65">
        <f>VLOOKUP(B65,ColesStoreData!$B:$F,5,0)</f>
        <v>1900</v>
      </c>
      <c r="K65">
        <f t="shared" si="2"/>
        <v>35</v>
      </c>
      <c r="L65" s="1">
        <f t="shared" ref="L65:L126" si="3">K65/D65</f>
        <v>0.7142857142857143</v>
      </c>
    </row>
    <row r="66" spans="1:12" x14ac:dyDescent="0.2">
      <c r="A66">
        <v>70</v>
      </c>
      <c r="B66" t="s">
        <v>625</v>
      </c>
      <c r="C66">
        <v>47</v>
      </c>
      <c r="D66">
        <v>45</v>
      </c>
      <c r="E66">
        <v>12</v>
      </c>
      <c r="F66" t="s">
        <v>701</v>
      </c>
      <c r="G66" t="s">
        <v>700</v>
      </c>
      <c r="H66" t="str">
        <f>VLOOKUP(B66,ColesStoreData!$B:$F,2,0)</f>
        <v>WA</v>
      </c>
      <c r="I66">
        <f>VLOOKUP(B66,ColesStoreData!$B:$F,3,0)</f>
        <v>6819</v>
      </c>
      <c r="J66">
        <f>VLOOKUP(B66,ColesStoreData!$B:$F,5,0)</f>
        <v>1900</v>
      </c>
      <c r="K66">
        <f t="shared" si="2"/>
        <v>33</v>
      </c>
      <c r="L66" s="1">
        <f t="shared" si="3"/>
        <v>0.73333333333333328</v>
      </c>
    </row>
    <row r="67" spans="1:12" x14ac:dyDescent="0.2">
      <c r="A67">
        <v>71</v>
      </c>
      <c r="B67" t="s">
        <v>624</v>
      </c>
      <c r="C67">
        <v>22</v>
      </c>
      <c r="D67">
        <v>42</v>
      </c>
      <c r="E67">
        <v>8</v>
      </c>
      <c r="F67" t="s">
        <v>701</v>
      </c>
      <c r="G67" t="s">
        <v>702</v>
      </c>
      <c r="H67" t="str">
        <f>VLOOKUP(B67,ColesStoreData!$B:$F,2,0)</f>
        <v>NSW</v>
      </c>
      <c r="I67">
        <f>VLOOKUP(B67,ColesStoreData!$B:$F,3,0)</f>
        <v>6334</v>
      </c>
      <c r="J67">
        <f>VLOOKUP(B67,ColesStoreData!$B:$F,5,0)</f>
        <v>1700</v>
      </c>
      <c r="K67">
        <f t="shared" si="2"/>
        <v>34</v>
      </c>
      <c r="L67" s="1">
        <f t="shared" si="3"/>
        <v>0.80952380952380953</v>
      </c>
    </row>
    <row r="68" spans="1:12" x14ac:dyDescent="0.2">
      <c r="A68">
        <v>72</v>
      </c>
      <c r="B68" t="s">
        <v>623</v>
      </c>
      <c r="C68">
        <v>30</v>
      </c>
      <c r="D68">
        <v>35</v>
      </c>
      <c r="E68">
        <v>10</v>
      </c>
      <c r="F68" t="s">
        <v>703</v>
      </c>
      <c r="G68" t="s">
        <v>700</v>
      </c>
      <c r="H68" t="str">
        <f>VLOOKUP(B68,ColesStoreData!$B:$F,2,0)</f>
        <v>VIC</v>
      </c>
      <c r="I68">
        <f>VLOOKUP(B68,ColesStoreData!$B:$F,3,0)</f>
        <v>7261</v>
      </c>
      <c r="J68">
        <f>VLOOKUP(B68,ColesStoreData!$B:$F,5,0)</f>
        <v>1700</v>
      </c>
      <c r="K68">
        <f t="shared" si="2"/>
        <v>25</v>
      </c>
      <c r="L68" s="1">
        <f t="shared" si="3"/>
        <v>0.7142857142857143</v>
      </c>
    </row>
    <row r="69" spans="1:12" x14ac:dyDescent="0.2">
      <c r="A69">
        <v>73</v>
      </c>
      <c r="B69" t="s">
        <v>622</v>
      </c>
      <c r="C69">
        <v>50</v>
      </c>
      <c r="D69">
        <v>32</v>
      </c>
      <c r="E69">
        <v>4</v>
      </c>
      <c r="F69" t="s">
        <v>701</v>
      </c>
      <c r="G69" t="s">
        <v>700</v>
      </c>
      <c r="H69" t="str">
        <f>VLOOKUP(B69,ColesStoreData!$B:$F,2,0)</f>
        <v>NT</v>
      </c>
      <c r="I69">
        <f>VLOOKUP(B69,ColesStoreData!$B:$F,3,0)</f>
        <v>9124</v>
      </c>
      <c r="J69">
        <f>VLOOKUP(B69,ColesStoreData!$B:$F,5,0)</f>
        <v>1700</v>
      </c>
      <c r="K69">
        <f t="shared" si="2"/>
        <v>28</v>
      </c>
      <c r="L69" s="1">
        <f t="shared" si="3"/>
        <v>0.875</v>
      </c>
    </row>
    <row r="70" spans="1:12" x14ac:dyDescent="0.2">
      <c r="A70">
        <v>74</v>
      </c>
      <c r="B70" t="s">
        <v>621</v>
      </c>
      <c r="C70">
        <v>27</v>
      </c>
      <c r="D70">
        <v>50</v>
      </c>
      <c r="E70">
        <v>6</v>
      </c>
      <c r="F70" t="s">
        <v>701</v>
      </c>
      <c r="G70" t="s">
        <v>702</v>
      </c>
      <c r="H70" t="str">
        <f>VLOOKUP(B70,ColesStoreData!$B:$F,2,0)</f>
        <v>NSW</v>
      </c>
      <c r="I70">
        <f>VLOOKUP(B70,ColesStoreData!$B:$F,3,0)</f>
        <v>8844</v>
      </c>
      <c r="J70">
        <f>VLOOKUP(B70,ColesStoreData!$B:$F,5,0)</f>
        <v>1900</v>
      </c>
      <c r="K70">
        <f t="shared" si="2"/>
        <v>44</v>
      </c>
      <c r="L70" s="1">
        <f t="shared" si="3"/>
        <v>0.88</v>
      </c>
    </row>
    <row r="71" spans="1:12" x14ac:dyDescent="0.2">
      <c r="A71">
        <v>75</v>
      </c>
      <c r="B71" t="s">
        <v>620</v>
      </c>
      <c r="C71">
        <v>31</v>
      </c>
      <c r="D71">
        <v>43</v>
      </c>
      <c r="E71">
        <v>12</v>
      </c>
      <c r="F71" t="s">
        <v>701</v>
      </c>
      <c r="G71" t="s">
        <v>702</v>
      </c>
      <c r="H71" t="str">
        <f>VLOOKUP(B71,ColesStoreData!$B:$F,2,0)</f>
        <v>VIC</v>
      </c>
      <c r="I71">
        <f>VLOOKUP(B71,ColesStoreData!$B:$F,3,0)</f>
        <v>8425</v>
      </c>
      <c r="J71">
        <f>VLOOKUP(B71,ColesStoreData!$B:$F,5,0)</f>
        <v>1700</v>
      </c>
      <c r="K71">
        <f t="shared" si="2"/>
        <v>31</v>
      </c>
      <c r="L71" s="1">
        <f t="shared" si="3"/>
        <v>0.72093023255813948</v>
      </c>
    </row>
    <row r="72" spans="1:12" x14ac:dyDescent="0.2">
      <c r="A72">
        <v>76</v>
      </c>
      <c r="B72" t="s">
        <v>619</v>
      </c>
      <c r="C72">
        <v>47</v>
      </c>
      <c r="D72">
        <v>51</v>
      </c>
      <c r="E72">
        <v>15</v>
      </c>
      <c r="F72" t="s">
        <v>701</v>
      </c>
      <c r="G72" t="s">
        <v>700</v>
      </c>
      <c r="H72" t="str">
        <f>VLOOKUP(B72,ColesStoreData!$B:$F,2,0)</f>
        <v>WA</v>
      </c>
      <c r="I72">
        <f>VLOOKUP(B72,ColesStoreData!$B:$F,3,0)</f>
        <v>9545</v>
      </c>
      <c r="J72">
        <f>VLOOKUP(B72,ColesStoreData!$B:$F,5,0)</f>
        <v>1900</v>
      </c>
      <c r="K72">
        <f t="shared" si="2"/>
        <v>36</v>
      </c>
      <c r="L72" s="1">
        <f t="shared" si="3"/>
        <v>0.70588235294117652</v>
      </c>
    </row>
    <row r="73" spans="1:12" x14ac:dyDescent="0.2">
      <c r="A73">
        <v>77</v>
      </c>
      <c r="B73" t="s">
        <v>618</v>
      </c>
      <c r="C73">
        <v>41</v>
      </c>
      <c r="D73">
        <v>41</v>
      </c>
      <c r="E73">
        <v>12</v>
      </c>
      <c r="F73" t="s">
        <v>703</v>
      </c>
      <c r="G73" t="s">
        <v>700</v>
      </c>
      <c r="H73" t="str">
        <f>VLOOKUP(B73,ColesStoreData!$B:$F,2,0)</f>
        <v>QLD</v>
      </c>
      <c r="I73">
        <f>VLOOKUP(B73,ColesStoreData!$B:$F,3,0)</f>
        <v>8547</v>
      </c>
      <c r="J73">
        <f>VLOOKUP(B73,ColesStoreData!$B:$F,5,0)</f>
        <v>1700</v>
      </c>
      <c r="K73">
        <f t="shared" si="2"/>
        <v>29</v>
      </c>
      <c r="L73" s="1">
        <f t="shared" si="3"/>
        <v>0.70731707317073167</v>
      </c>
    </row>
    <row r="74" spans="1:12" x14ac:dyDescent="0.2">
      <c r="A74">
        <v>78</v>
      </c>
      <c r="B74" t="s">
        <v>617</v>
      </c>
      <c r="C74">
        <v>33</v>
      </c>
      <c r="D74">
        <v>36</v>
      </c>
      <c r="E74">
        <v>6</v>
      </c>
      <c r="F74" t="s">
        <v>701</v>
      </c>
      <c r="G74" t="s">
        <v>700</v>
      </c>
      <c r="H74" t="str">
        <f>VLOOKUP(B74,ColesStoreData!$B:$F,2,0)</f>
        <v>VIC</v>
      </c>
      <c r="I74">
        <f>VLOOKUP(B74,ColesStoreData!$B:$F,3,0)</f>
        <v>8902</v>
      </c>
      <c r="J74">
        <f>VLOOKUP(B74,ColesStoreData!$B:$F,5,0)</f>
        <v>1700</v>
      </c>
      <c r="K74">
        <f t="shared" si="2"/>
        <v>30</v>
      </c>
      <c r="L74" s="1">
        <f t="shared" si="3"/>
        <v>0.83333333333333337</v>
      </c>
    </row>
    <row r="75" spans="1:12" x14ac:dyDescent="0.2">
      <c r="A75">
        <v>79</v>
      </c>
      <c r="B75" t="s">
        <v>616</v>
      </c>
      <c r="C75">
        <v>40</v>
      </c>
      <c r="D75">
        <v>52</v>
      </c>
      <c r="E75">
        <v>12</v>
      </c>
      <c r="F75" t="s">
        <v>703</v>
      </c>
      <c r="G75" t="s">
        <v>702</v>
      </c>
      <c r="H75" t="str">
        <f>VLOOKUP(B75,ColesStoreData!$B:$F,2,0)</f>
        <v>QLD</v>
      </c>
      <c r="I75">
        <f>VLOOKUP(B75,ColesStoreData!$B:$F,3,0)</f>
        <v>7036</v>
      </c>
      <c r="J75">
        <f>VLOOKUP(B75,ColesStoreData!$B:$F,5,0)</f>
        <v>1900</v>
      </c>
      <c r="K75">
        <f t="shared" si="2"/>
        <v>40</v>
      </c>
      <c r="L75" s="1">
        <f t="shared" si="3"/>
        <v>0.76923076923076927</v>
      </c>
    </row>
    <row r="76" spans="1:12" x14ac:dyDescent="0.2">
      <c r="A76">
        <v>80</v>
      </c>
      <c r="B76" t="s">
        <v>615</v>
      </c>
      <c r="C76">
        <v>38</v>
      </c>
      <c r="D76">
        <v>28</v>
      </c>
      <c r="E76">
        <v>9</v>
      </c>
      <c r="F76" t="s">
        <v>703</v>
      </c>
      <c r="G76" t="s">
        <v>700</v>
      </c>
      <c r="H76" t="str">
        <f>VLOOKUP(B76,ColesStoreData!$B:$F,2,0)</f>
        <v>QLD</v>
      </c>
      <c r="I76">
        <f>VLOOKUP(B76,ColesStoreData!$B:$F,3,0)</f>
        <v>6901</v>
      </c>
      <c r="J76">
        <f>VLOOKUP(B76,ColesStoreData!$B:$F,5,0)</f>
        <v>1700</v>
      </c>
      <c r="K76">
        <f t="shared" si="2"/>
        <v>19</v>
      </c>
      <c r="L76" s="1">
        <f t="shared" si="3"/>
        <v>0.6785714285714286</v>
      </c>
    </row>
    <row r="77" spans="1:12" x14ac:dyDescent="0.2">
      <c r="A77">
        <v>81</v>
      </c>
      <c r="B77" t="s">
        <v>614</v>
      </c>
      <c r="C77">
        <v>42</v>
      </c>
      <c r="D77">
        <v>41</v>
      </c>
      <c r="E77">
        <v>12</v>
      </c>
      <c r="F77" t="s">
        <v>701</v>
      </c>
      <c r="G77" t="s">
        <v>700</v>
      </c>
      <c r="H77" t="str">
        <f>VLOOKUP(B77,ColesStoreData!$B:$F,2,0)</f>
        <v>QLD</v>
      </c>
      <c r="I77">
        <f>VLOOKUP(B77,ColesStoreData!$B:$F,3,0)</f>
        <v>7199</v>
      </c>
      <c r="J77">
        <f>VLOOKUP(B77,ColesStoreData!$B:$F,5,0)</f>
        <v>1700</v>
      </c>
      <c r="K77">
        <f t="shared" si="2"/>
        <v>29</v>
      </c>
      <c r="L77" s="1">
        <f t="shared" si="3"/>
        <v>0.70731707317073167</v>
      </c>
    </row>
    <row r="78" spans="1:12" x14ac:dyDescent="0.2">
      <c r="A78">
        <v>82</v>
      </c>
      <c r="B78" t="s">
        <v>613</v>
      </c>
      <c r="C78">
        <v>21</v>
      </c>
      <c r="D78">
        <v>29</v>
      </c>
      <c r="E78">
        <v>7</v>
      </c>
      <c r="F78" t="s">
        <v>701</v>
      </c>
      <c r="G78" t="s">
        <v>702</v>
      </c>
      <c r="H78" t="str">
        <f>VLOOKUP(B78,ColesStoreData!$B:$F,2,0)</f>
        <v>NSW</v>
      </c>
      <c r="I78">
        <f>VLOOKUP(B78,ColesStoreData!$B:$F,3,0)</f>
        <v>7965</v>
      </c>
      <c r="J78">
        <f>VLOOKUP(B78,ColesStoreData!$B:$F,5,0)</f>
        <v>1700</v>
      </c>
      <c r="K78">
        <f t="shared" si="2"/>
        <v>22</v>
      </c>
      <c r="L78" s="1">
        <f t="shared" si="3"/>
        <v>0.75862068965517238</v>
      </c>
    </row>
    <row r="79" spans="1:12" x14ac:dyDescent="0.2">
      <c r="A79">
        <v>83</v>
      </c>
      <c r="B79" t="s">
        <v>612</v>
      </c>
      <c r="C79">
        <v>32</v>
      </c>
      <c r="D79">
        <v>40</v>
      </c>
      <c r="E79">
        <v>11</v>
      </c>
      <c r="F79" t="s">
        <v>703</v>
      </c>
      <c r="G79" t="s">
        <v>700</v>
      </c>
      <c r="H79" t="str">
        <f>VLOOKUP(B79,ColesStoreData!$B:$F,2,0)</f>
        <v>VIC</v>
      </c>
      <c r="I79">
        <f>VLOOKUP(B79,ColesStoreData!$B:$F,3,0)</f>
        <v>6901</v>
      </c>
      <c r="J79">
        <f>VLOOKUP(B79,ColesStoreData!$B:$F,5,0)</f>
        <v>1700</v>
      </c>
      <c r="K79">
        <f t="shared" si="2"/>
        <v>29</v>
      </c>
      <c r="L79" s="1">
        <f t="shared" si="3"/>
        <v>0.72499999999999998</v>
      </c>
    </row>
    <row r="80" spans="1:12" x14ac:dyDescent="0.2">
      <c r="A80">
        <v>84</v>
      </c>
      <c r="B80" t="s">
        <v>611</v>
      </c>
      <c r="C80">
        <v>26</v>
      </c>
      <c r="D80">
        <v>48</v>
      </c>
      <c r="E80">
        <v>12</v>
      </c>
      <c r="F80" t="s">
        <v>703</v>
      </c>
      <c r="G80" t="s">
        <v>702</v>
      </c>
      <c r="H80" t="str">
        <f>VLOOKUP(B80,ColesStoreData!$B:$F,2,0)</f>
        <v>NSW</v>
      </c>
      <c r="I80">
        <f>VLOOKUP(B80,ColesStoreData!$B:$F,3,0)</f>
        <v>6125</v>
      </c>
      <c r="J80">
        <f>VLOOKUP(B80,ColesStoreData!$B:$F,5,0)</f>
        <v>1900</v>
      </c>
      <c r="K80">
        <f t="shared" si="2"/>
        <v>36</v>
      </c>
      <c r="L80" s="1">
        <f t="shared" si="3"/>
        <v>0.75</v>
      </c>
    </row>
    <row r="81" spans="1:12" x14ac:dyDescent="0.2">
      <c r="A81">
        <v>85</v>
      </c>
      <c r="B81" t="s">
        <v>610</v>
      </c>
      <c r="C81">
        <v>26</v>
      </c>
      <c r="D81">
        <v>37</v>
      </c>
      <c r="E81">
        <v>11</v>
      </c>
      <c r="F81" t="s">
        <v>703</v>
      </c>
      <c r="G81" t="s">
        <v>702</v>
      </c>
      <c r="H81" t="str">
        <f>VLOOKUP(B81,ColesStoreData!$B:$F,2,0)</f>
        <v>NSW</v>
      </c>
      <c r="I81">
        <f>VLOOKUP(B81,ColesStoreData!$B:$F,3,0)</f>
        <v>9655</v>
      </c>
      <c r="J81">
        <f>VLOOKUP(B81,ColesStoreData!$B:$F,5,0)</f>
        <v>1700</v>
      </c>
      <c r="K81">
        <f t="shared" si="2"/>
        <v>26</v>
      </c>
      <c r="L81" s="1">
        <f t="shared" si="3"/>
        <v>0.70270270270270274</v>
      </c>
    </row>
    <row r="82" spans="1:12" x14ac:dyDescent="0.2">
      <c r="A82">
        <v>87</v>
      </c>
      <c r="B82" t="s">
        <v>608</v>
      </c>
      <c r="C82">
        <v>42</v>
      </c>
      <c r="D82">
        <v>52</v>
      </c>
      <c r="E82">
        <v>3</v>
      </c>
      <c r="F82" t="s">
        <v>701</v>
      </c>
      <c r="G82" t="s">
        <v>702</v>
      </c>
      <c r="H82" t="str">
        <f>VLOOKUP(B82,ColesStoreData!$B:$F,2,0)</f>
        <v>QLD</v>
      </c>
      <c r="I82">
        <f>VLOOKUP(B82,ColesStoreData!$B:$F,3,0)</f>
        <v>8638</v>
      </c>
      <c r="J82">
        <f>VLOOKUP(B82,ColesStoreData!$B:$F,5,0)</f>
        <v>1900</v>
      </c>
      <c r="K82">
        <f t="shared" si="2"/>
        <v>49</v>
      </c>
      <c r="L82" s="1">
        <f t="shared" si="3"/>
        <v>0.94230769230769229</v>
      </c>
    </row>
    <row r="83" spans="1:12" x14ac:dyDescent="0.2">
      <c r="A83">
        <v>88</v>
      </c>
      <c r="B83" t="s">
        <v>607</v>
      </c>
      <c r="C83">
        <v>32</v>
      </c>
      <c r="D83">
        <v>39</v>
      </c>
      <c r="E83">
        <v>12</v>
      </c>
      <c r="F83" t="s">
        <v>701</v>
      </c>
      <c r="G83" t="s">
        <v>700</v>
      </c>
      <c r="H83" t="str">
        <f>VLOOKUP(B83,ColesStoreData!$B:$F,2,0)</f>
        <v>VIC</v>
      </c>
      <c r="I83">
        <f>VLOOKUP(B83,ColesStoreData!$B:$F,3,0)</f>
        <v>7789</v>
      </c>
      <c r="J83">
        <f>VLOOKUP(B83,ColesStoreData!$B:$F,5,0)</f>
        <v>1700</v>
      </c>
      <c r="K83">
        <f t="shared" si="2"/>
        <v>27</v>
      </c>
      <c r="L83" s="1">
        <f t="shared" si="3"/>
        <v>0.69230769230769229</v>
      </c>
    </row>
    <row r="84" spans="1:12" x14ac:dyDescent="0.2">
      <c r="A84">
        <v>89</v>
      </c>
      <c r="B84" t="s">
        <v>606</v>
      </c>
      <c r="C84">
        <v>29</v>
      </c>
      <c r="D84">
        <v>40</v>
      </c>
      <c r="E84">
        <v>9</v>
      </c>
      <c r="F84" t="s">
        <v>701</v>
      </c>
      <c r="G84" t="s">
        <v>702</v>
      </c>
      <c r="H84" t="str">
        <f>VLOOKUP(B84,ColesStoreData!$B:$F,2,0)</f>
        <v>VIC</v>
      </c>
      <c r="I84">
        <f>VLOOKUP(B84,ColesStoreData!$B:$F,3,0)</f>
        <v>9872</v>
      </c>
      <c r="J84">
        <f>VLOOKUP(B84,ColesStoreData!$B:$F,5,0)</f>
        <v>1700</v>
      </c>
      <c r="K84">
        <f t="shared" si="2"/>
        <v>31</v>
      </c>
      <c r="L84" s="1">
        <f t="shared" si="3"/>
        <v>0.77500000000000002</v>
      </c>
    </row>
    <row r="85" spans="1:12" x14ac:dyDescent="0.2">
      <c r="A85">
        <v>92</v>
      </c>
      <c r="B85" t="s">
        <v>603</v>
      </c>
      <c r="C85">
        <v>24</v>
      </c>
      <c r="D85">
        <v>46</v>
      </c>
      <c r="E85">
        <v>13</v>
      </c>
      <c r="F85" t="s">
        <v>701</v>
      </c>
      <c r="G85" t="s">
        <v>702</v>
      </c>
      <c r="H85" t="str">
        <f>VLOOKUP(B85,ColesStoreData!$B:$F,2,0)</f>
        <v>NSW</v>
      </c>
      <c r="I85">
        <f>VLOOKUP(B85,ColesStoreData!$B:$F,3,0)</f>
        <v>8372</v>
      </c>
      <c r="J85">
        <f>VLOOKUP(B85,ColesStoreData!$B:$F,5,0)</f>
        <v>1900</v>
      </c>
      <c r="K85">
        <f t="shared" si="2"/>
        <v>33</v>
      </c>
      <c r="L85" s="1">
        <f t="shared" si="3"/>
        <v>0.71739130434782605</v>
      </c>
    </row>
    <row r="86" spans="1:12" x14ac:dyDescent="0.2">
      <c r="A86">
        <v>93</v>
      </c>
      <c r="B86" t="s">
        <v>602</v>
      </c>
      <c r="C86">
        <v>30</v>
      </c>
      <c r="D86">
        <v>41</v>
      </c>
      <c r="E86">
        <v>6</v>
      </c>
      <c r="F86" t="s">
        <v>703</v>
      </c>
      <c r="G86" t="s">
        <v>702</v>
      </c>
      <c r="H86" t="str">
        <f>VLOOKUP(B86,ColesStoreData!$B:$F,2,0)</f>
        <v>VIC</v>
      </c>
      <c r="I86">
        <f>VLOOKUP(B86,ColesStoreData!$B:$F,3,0)</f>
        <v>6867</v>
      </c>
      <c r="J86">
        <f>VLOOKUP(B86,ColesStoreData!$B:$F,5,0)</f>
        <v>1700</v>
      </c>
      <c r="K86">
        <f t="shared" si="2"/>
        <v>35</v>
      </c>
      <c r="L86" s="1">
        <f t="shared" si="3"/>
        <v>0.85365853658536583</v>
      </c>
    </row>
    <row r="87" spans="1:12" x14ac:dyDescent="0.2">
      <c r="A87">
        <v>94</v>
      </c>
      <c r="B87" t="s">
        <v>601</v>
      </c>
      <c r="C87">
        <v>37</v>
      </c>
      <c r="D87">
        <v>47</v>
      </c>
      <c r="E87">
        <v>11</v>
      </c>
      <c r="F87" t="s">
        <v>703</v>
      </c>
      <c r="G87" t="s">
        <v>700</v>
      </c>
      <c r="H87" t="str">
        <f>VLOOKUP(B87,ColesStoreData!$B:$F,2,0)</f>
        <v>QLD</v>
      </c>
      <c r="I87">
        <f>VLOOKUP(B87,ColesStoreData!$B:$F,3,0)</f>
        <v>8007</v>
      </c>
      <c r="J87">
        <f>VLOOKUP(B87,ColesStoreData!$B:$F,5,0)</f>
        <v>1900</v>
      </c>
      <c r="K87">
        <f t="shared" si="2"/>
        <v>36</v>
      </c>
      <c r="L87" s="1">
        <f t="shared" si="3"/>
        <v>0.76595744680851063</v>
      </c>
    </row>
    <row r="88" spans="1:12" x14ac:dyDescent="0.2">
      <c r="A88">
        <v>95</v>
      </c>
      <c r="B88" t="s">
        <v>600</v>
      </c>
      <c r="C88">
        <v>30</v>
      </c>
      <c r="D88">
        <v>37</v>
      </c>
      <c r="E88">
        <v>15</v>
      </c>
      <c r="F88" t="s">
        <v>701</v>
      </c>
      <c r="G88" t="s">
        <v>700</v>
      </c>
      <c r="H88" t="str">
        <f>VLOOKUP(B88,ColesStoreData!$B:$F,2,0)</f>
        <v>VIC</v>
      </c>
      <c r="I88">
        <f>VLOOKUP(B88,ColesStoreData!$B:$F,3,0)</f>
        <v>8862</v>
      </c>
      <c r="J88">
        <f>VLOOKUP(B88,ColesStoreData!$B:$F,5,0)</f>
        <v>1700</v>
      </c>
      <c r="K88">
        <f t="shared" si="2"/>
        <v>22</v>
      </c>
      <c r="L88" s="1">
        <f t="shared" si="3"/>
        <v>0.59459459459459463</v>
      </c>
    </row>
    <row r="89" spans="1:12" x14ac:dyDescent="0.2">
      <c r="A89">
        <v>96</v>
      </c>
      <c r="B89" t="s">
        <v>599</v>
      </c>
      <c r="C89">
        <v>23</v>
      </c>
      <c r="D89">
        <v>40</v>
      </c>
      <c r="E89">
        <v>9</v>
      </c>
      <c r="F89" t="s">
        <v>701</v>
      </c>
      <c r="G89" t="s">
        <v>702</v>
      </c>
      <c r="H89" t="str">
        <f>VLOOKUP(B89,ColesStoreData!$B:$F,2,0)</f>
        <v>NSW</v>
      </c>
      <c r="I89">
        <f>VLOOKUP(B89,ColesStoreData!$B:$F,3,0)</f>
        <v>9265</v>
      </c>
      <c r="J89">
        <f>VLOOKUP(B89,ColesStoreData!$B:$F,5,0)</f>
        <v>1700</v>
      </c>
      <c r="K89">
        <f t="shared" si="2"/>
        <v>31</v>
      </c>
      <c r="L89" s="1">
        <f t="shared" si="3"/>
        <v>0.77500000000000002</v>
      </c>
    </row>
    <row r="90" spans="1:12" x14ac:dyDescent="0.2">
      <c r="A90">
        <v>97</v>
      </c>
      <c r="B90" t="s">
        <v>598</v>
      </c>
      <c r="C90">
        <v>22</v>
      </c>
      <c r="D90">
        <v>30</v>
      </c>
      <c r="E90">
        <v>7</v>
      </c>
      <c r="F90" t="s">
        <v>701</v>
      </c>
      <c r="G90" t="s">
        <v>702</v>
      </c>
      <c r="H90" t="str">
        <f>VLOOKUP(B90,ColesStoreData!$B:$F,2,0)</f>
        <v>NSW</v>
      </c>
      <c r="I90">
        <f>VLOOKUP(B90,ColesStoreData!$B:$F,3,0)</f>
        <v>6680</v>
      </c>
      <c r="J90">
        <f>VLOOKUP(B90,ColesStoreData!$B:$F,5,0)</f>
        <v>1700</v>
      </c>
      <c r="K90">
        <f t="shared" si="2"/>
        <v>23</v>
      </c>
      <c r="L90" s="1">
        <f t="shared" si="3"/>
        <v>0.76666666666666672</v>
      </c>
    </row>
    <row r="91" spans="1:12" x14ac:dyDescent="0.2">
      <c r="A91">
        <v>98</v>
      </c>
      <c r="B91" t="s">
        <v>597</v>
      </c>
      <c r="C91">
        <v>29</v>
      </c>
      <c r="D91">
        <v>49</v>
      </c>
      <c r="E91">
        <v>9</v>
      </c>
      <c r="F91" t="s">
        <v>703</v>
      </c>
      <c r="G91" t="s">
        <v>702</v>
      </c>
      <c r="H91" t="str">
        <f>VLOOKUP(B91,ColesStoreData!$B:$F,2,0)</f>
        <v>VIC</v>
      </c>
      <c r="I91">
        <f>VLOOKUP(B91,ColesStoreData!$B:$F,3,0)</f>
        <v>7577</v>
      </c>
      <c r="J91">
        <f>VLOOKUP(B91,ColesStoreData!$B:$F,5,0)</f>
        <v>1900</v>
      </c>
      <c r="K91">
        <f t="shared" si="2"/>
        <v>40</v>
      </c>
      <c r="L91" s="1">
        <f t="shared" si="3"/>
        <v>0.81632653061224492</v>
      </c>
    </row>
    <row r="92" spans="1:12" x14ac:dyDescent="0.2">
      <c r="A92">
        <v>99</v>
      </c>
      <c r="B92" t="s">
        <v>596</v>
      </c>
      <c r="C92">
        <v>27</v>
      </c>
      <c r="D92">
        <v>53</v>
      </c>
      <c r="E92">
        <v>11</v>
      </c>
      <c r="F92" t="s">
        <v>703</v>
      </c>
      <c r="G92" t="s">
        <v>702</v>
      </c>
      <c r="H92" t="str">
        <f>VLOOKUP(B92,ColesStoreData!$B:$F,2,0)</f>
        <v>NSW</v>
      </c>
      <c r="I92">
        <f>VLOOKUP(B92,ColesStoreData!$B:$F,3,0)</f>
        <v>8944</v>
      </c>
      <c r="J92">
        <f>VLOOKUP(B92,ColesStoreData!$B:$F,5,0)</f>
        <v>1900</v>
      </c>
      <c r="K92">
        <f t="shared" si="2"/>
        <v>42</v>
      </c>
      <c r="L92" s="1">
        <f t="shared" si="3"/>
        <v>0.79245283018867929</v>
      </c>
    </row>
    <row r="93" spans="1:12" x14ac:dyDescent="0.2">
      <c r="A93">
        <v>100</v>
      </c>
      <c r="B93" t="s">
        <v>595</v>
      </c>
      <c r="C93">
        <v>47</v>
      </c>
      <c r="D93">
        <v>40</v>
      </c>
      <c r="E93">
        <v>7</v>
      </c>
      <c r="F93" t="s">
        <v>703</v>
      </c>
      <c r="G93" t="s">
        <v>700</v>
      </c>
      <c r="H93" t="str">
        <f>VLOOKUP(B93,ColesStoreData!$B:$F,2,0)</f>
        <v>SA</v>
      </c>
      <c r="I93">
        <f>VLOOKUP(B93,ColesStoreData!$B:$F,3,0)</f>
        <v>8372</v>
      </c>
      <c r="J93">
        <f>VLOOKUP(B93,ColesStoreData!$B:$F,5,0)</f>
        <v>1700</v>
      </c>
      <c r="K93">
        <f t="shared" si="2"/>
        <v>33</v>
      </c>
      <c r="L93" s="1">
        <f t="shared" si="3"/>
        <v>0.82499999999999996</v>
      </c>
    </row>
    <row r="94" spans="1:12" x14ac:dyDescent="0.2">
      <c r="A94">
        <v>102</v>
      </c>
      <c r="B94" t="s">
        <v>593</v>
      </c>
      <c r="C94">
        <v>21</v>
      </c>
      <c r="D94">
        <v>59</v>
      </c>
      <c r="E94">
        <v>13</v>
      </c>
      <c r="F94" t="s">
        <v>701</v>
      </c>
      <c r="G94" t="s">
        <v>702</v>
      </c>
      <c r="H94" t="str">
        <f>VLOOKUP(B94,ColesStoreData!$B:$F,2,0)</f>
        <v>NSW</v>
      </c>
      <c r="I94">
        <f>VLOOKUP(B94,ColesStoreData!$B:$F,3,0)</f>
        <v>24760</v>
      </c>
      <c r="J94">
        <f>VLOOKUP(B94,ColesStoreData!$B:$F,5,0)</f>
        <v>2700</v>
      </c>
      <c r="K94">
        <f t="shared" si="2"/>
        <v>46</v>
      </c>
      <c r="L94" s="1">
        <f t="shared" si="3"/>
        <v>0.77966101694915257</v>
      </c>
    </row>
    <row r="95" spans="1:12" x14ac:dyDescent="0.2">
      <c r="A95">
        <v>103</v>
      </c>
      <c r="B95" t="s">
        <v>592</v>
      </c>
      <c r="C95">
        <v>41</v>
      </c>
      <c r="D95">
        <v>49</v>
      </c>
      <c r="E95">
        <v>9</v>
      </c>
      <c r="F95" t="s">
        <v>701</v>
      </c>
      <c r="G95" t="s">
        <v>700</v>
      </c>
      <c r="H95" t="str">
        <f>VLOOKUP(B95,ColesStoreData!$B:$F,2,0)</f>
        <v>QLD</v>
      </c>
      <c r="I95">
        <f>VLOOKUP(B95,ColesStoreData!$B:$F,3,0)</f>
        <v>8641</v>
      </c>
      <c r="J95">
        <f>VLOOKUP(B95,ColesStoreData!$B:$F,5,0)</f>
        <v>1900</v>
      </c>
      <c r="K95">
        <f t="shared" si="2"/>
        <v>40</v>
      </c>
      <c r="L95" s="1">
        <f t="shared" si="3"/>
        <v>0.81632653061224492</v>
      </c>
    </row>
    <row r="96" spans="1:12" x14ac:dyDescent="0.2">
      <c r="A96">
        <v>104</v>
      </c>
      <c r="B96" t="s">
        <v>591</v>
      </c>
      <c r="C96">
        <v>34</v>
      </c>
      <c r="D96">
        <v>57</v>
      </c>
      <c r="E96">
        <v>14</v>
      </c>
      <c r="F96" t="s">
        <v>701</v>
      </c>
      <c r="G96" t="s">
        <v>702</v>
      </c>
      <c r="H96" t="str">
        <f>VLOOKUP(B96,ColesStoreData!$B:$F,2,0)</f>
        <v>VIC</v>
      </c>
      <c r="I96">
        <f>VLOOKUP(B96,ColesStoreData!$B:$F,3,0)</f>
        <v>46575</v>
      </c>
      <c r="J96">
        <f>VLOOKUP(B96,ColesStoreData!$B:$F,5,0)</f>
        <v>2700</v>
      </c>
      <c r="K96">
        <f t="shared" si="2"/>
        <v>43</v>
      </c>
      <c r="L96" s="1">
        <f t="shared" si="3"/>
        <v>0.75438596491228072</v>
      </c>
    </row>
    <row r="97" spans="1:12" x14ac:dyDescent="0.2">
      <c r="A97">
        <v>105</v>
      </c>
      <c r="B97" t="s">
        <v>590</v>
      </c>
      <c r="C97">
        <v>44</v>
      </c>
      <c r="D97">
        <v>45</v>
      </c>
      <c r="E97">
        <v>8</v>
      </c>
      <c r="F97" t="s">
        <v>703</v>
      </c>
      <c r="G97" t="s">
        <v>700</v>
      </c>
      <c r="H97" t="str">
        <f>VLOOKUP(B97,ColesStoreData!$B:$F,2,0)</f>
        <v>WA</v>
      </c>
      <c r="I97">
        <f>VLOOKUP(B97,ColesStoreData!$B:$F,3,0)</f>
        <v>6158</v>
      </c>
      <c r="J97">
        <f>VLOOKUP(B97,ColesStoreData!$B:$F,5,0)</f>
        <v>1900</v>
      </c>
      <c r="K97">
        <f t="shared" si="2"/>
        <v>37</v>
      </c>
      <c r="L97" s="1">
        <f t="shared" si="3"/>
        <v>0.82222222222222219</v>
      </c>
    </row>
    <row r="98" spans="1:12" x14ac:dyDescent="0.2">
      <c r="A98">
        <v>106</v>
      </c>
      <c r="B98" t="s">
        <v>589</v>
      </c>
      <c r="C98">
        <v>38</v>
      </c>
      <c r="D98">
        <v>30</v>
      </c>
      <c r="E98">
        <v>12</v>
      </c>
      <c r="F98" t="s">
        <v>703</v>
      </c>
      <c r="G98" t="s">
        <v>700</v>
      </c>
      <c r="H98" t="str">
        <f>VLOOKUP(B98,ColesStoreData!$B:$F,2,0)</f>
        <v>QLD</v>
      </c>
      <c r="I98">
        <f>VLOOKUP(B98,ColesStoreData!$B:$F,3,0)</f>
        <v>6445</v>
      </c>
      <c r="J98">
        <f>VLOOKUP(B98,ColesStoreData!$B:$F,5,0)</f>
        <v>1700</v>
      </c>
      <c r="K98">
        <f t="shared" si="2"/>
        <v>18</v>
      </c>
      <c r="L98" s="1">
        <f t="shared" si="3"/>
        <v>0.6</v>
      </c>
    </row>
    <row r="99" spans="1:12" x14ac:dyDescent="0.2">
      <c r="A99">
        <v>107</v>
      </c>
      <c r="B99" t="s">
        <v>588</v>
      </c>
      <c r="C99">
        <v>26</v>
      </c>
      <c r="D99">
        <v>58</v>
      </c>
      <c r="E99">
        <v>14</v>
      </c>
      <c r="F99" t="s">
        <v>703</v>
      </c>
      <c r="G99" t="s">
        <v>702</v>
      </c>
      <c r="H99" t="str">
        <f>VLOOKUP(B99,ColesStoreData!$B:$F,2,0)</f>
        <v>NSW</v>
      </c>
      <c r="I99">
        <f>VLOOKUP(B99,ColesStoreData!$B:$F,3,0)</f>
        <v>17117</v>
      </c>
      <c r="J99">
        <f>VLOOKUP(B99,ColesStoreData!$B:$F,5,0)</f>
        <v>2700</v>
      </c>
      <c r="K99">
        <f t="shared" si="2"/>
        <v>44</v>
      </c>
      <c r="L99" s="1">
        <f t="shared" si="3"/>
        <v>0.75862068965517238</v>
      </c>
    </row>
    <row r="100" spans="1:12" x14ac:dyDescent="0.2">
      <c r="A100">
        <v>108</v>
      </c>
      <c r="B100" t="s">
        <v>587</v>
      </c>
      <c r="C100">
        <v>35</v>
      </c>
      <c r="D100">
        <v>37</v>
      </c>
      <c r="E100">
        <v>13</v>
      </c>
      <c r="F100" t="s">
        <v>701</v>
      </c>
      <c r="G100" t="s">
        <v>700</v>
      </c>
      <c r="H100" t="str">
        <f>VLOOKUP(B100,ColesStoreData!$B:$F,2,0)</f>
        <v>VIC</v>
      </c>
      <c r="I100">
        <f>VLOOKUP(B100,ColesStoreData!$B:$F,3,0)</f>
        <v>6274</v>
      </c>
      <c r="J100">
        <f>VLOOKUP(B100,ColesStoreData!$B:$F,5,0)</f>
        <v>1700</v>
      </c>
      <c r="K100">
        <f t="shared" si="2"/>
        <v>24</v>
      </c>
      <c r="L100" s="1">
        <f t="shared" si="3"/>
        <v>0.64864864864864868</v>
      </c>
    </row>
    <row r="101" spans="1:12" x14ac:dyDescent="0.2">
      <c r="A101">
        <v>109</v>
      </c>
      <c r="B101" t="s">
        <v>586</v>
      </c>
      <c r="C101">
        <v>36</v>
      </c>
      <c r="D101">
        <v>40</v>
      </c>
      <c r="E101">
        <v>13</v>
      </c>
      <c r="F101" t="s">
        <v>703</v>
      </c>
      <c r="G101" t="s">
        <v>700</v>
      </c>
      <c r="H101" t="str">
        <f>VLOOKUP(B101,ColesStoreData!$B:$F,2,0)</f>
        <v>VIC</v>
      </c>
      <c r="I101">
        <f>VLOOKUP(B101,ColesStoreData!$B:$F,3,0)</f>
        <v>7408</v>
      </c>
      <c r="J101">
        <f>VLOOKUP(B101,ColesStoreData!$B:$F,5,0)</f>
        <v>1700</v>
      </c>
      <c r="K101">
        <f t="shared" si="2"/>
        <v>27</v>
      </c>
      <c r="L101" s="1">
        <f t="shared" si="3"/>
        <v>0.67500000000000004</v>
      </c>
    </row>
    <row r="102" spans="1:12" x14ac:dyDescent="0.2">
      <c r="A102">
        <v>110</v>
      </c>
      <c r="B102" t="s">
        <v>585</v>
      </c>
      <c r="C102">
        <v>44</v>
      </c>
      <c r="D102">
        <v>31</v>
      </c>
      <c r="E102">
        <v>9</v>
      </c>
      <c r="F102" t="s">
        <v>701</v>
      </c>
      <c r="G102" t="s">
        <v>700</v>
      </c>
      <c r="H102" t="str">
        <f>VLOOKUP(B102,ColesStoreData!$B:$F,2,0)</f>
        <v>WA</v>
      </c>
      <c r="I102">
        <f>VLOOKUP(B102,ColesStoreData!$B:$F,3,0)</f>
        <v>8344</v>
      </c>
      <c r="J102">
        <f>VLOOKUP(B102,ColesStoreData!$B:$F,5,0)</f>
        <v>1700</v>
      </c>
      <c r="K102">
        <f t="shared" si="2"/>
        <v>22</v>
      </c>
      <c r="L102" s="1">
        <f t="shared" si="3"/>
        <v>0.70967741935483875</v>
      </c>
    </row>
    <row r="103" spans="1:12" x14ac:dyDescent="0.2">
      <c r="A103">
        <v>111</v>
      </c>
      <c r="B103" t="s">
        <v>584</v>
      </c>
      <c r="C103">
        <v>35</v>
      </c>
      <c r="D103">
        <v>36</v>
      </c>
      <c r="E103">
        <v>7</v>
      </c>
      <c r="F103" t="s">
        <v>701</v>
      </c>
      <c r="G103" t="s">
        <v>700</v>
      </c>
      <c r="H103" t="str">
        <f>VLOOKUP(B103,ColesStoreData!$B:$F,2,0)</f>
        <v>VIC</v>
      </c>
      <c r="I103">
        <f>VLOOKUP(B103,ColesStoreData!$B:$F,3,0)</f>
        <v>7020</v>
      </c>
      <c r="J103">
        <f>VLOOKUP(B103,ColesStoreData!$B:$F,5,0)</f>
        <v>1700</v>
      </c>
      <c r="K103">
        <f t="shared" si="2"/>
        <v>29</v>
      </c>
      <c r="L103" s="1">
        <f t="shared" si="3"/>
        <v>0.80555555555555558</v>
      </c>
    </row>
    <row r="104" spans="1:12" x14ac:dyDescent="0.2">
      <c r="A104">
        <v>112</v>
      </c>
      <c r="B104" t="s">
        <v>583</v>
      </c>
      <c r="C104">
        <v>39</v>
      </c>
      <c r="D104">
        <v>39</v>
      </c>
      <c r="E104">
        <v>10</v>
      </c>
      <c r="F104" t="s">
        <v>701</v>
      </c>
      <c r="G104" t="s">
        <v>700</v>
      </c>
      <c r="H104" t="str">
        <f>VLOOKUP(B104,ColesStoreData!$B:$F,2,0)</f>
        <v>QLD</v>
      </c>
      <c r="I104">
        <f>VLOOKUP(B104,ColesStoreData!$B:$F,3,0)</f>
        <v>6204</v>
      </c>
      <c r="J104">
        <f>VLOOKUP(B104,ColesStoreData!$B:$F,5,0)</f>
        <v>1700</v>
      </c>
      <c r="K104">
        <f t="shared" si="2"/>
        <v>29</v>
      </c>
      <c r="L104" s="1">
        <f t="shared" si="3"/>
        <v>0.74358974358974361</v>
      </c>
    </row>
    <row r="105" spans="1:12" x14ac:dyDescent="0.2">
      <c r="A105">
        <v>113</v>
      </c>
      <c r="B105" t="s">
        <v>582</v>
      </c>
      <c r="C105">
        <v>43</v>
      </c>
      <c r="D105">
        <v>37</v>
      </c>
      <c r="E105">
        <v>5</v>
      </c>
      <c r="F105" t="s">
        <v>703</v>
      </c>
      <c r="G105" t="s">
        <v>700</v>
      </c>
      <c r="H105" t="str">
        <f>VLOOKUP(B105,ColesStoreData!$B:$F,2,0)</f>
        <v>QLD</v>
      </c>
      <c r="I105">
        <f>VLOOKUP(B105,ColesStoreData!$B:$F,3,0)</f>
        <v>9700</v>
      </c>
      <c r="J105">
        <f>VLOOKUP(B105,ColesStoreData!$B:$F,5,0)</f>
        <v>1700</v>
      </c>
      <c r="K105">
        <f t="shared" si="2"/>
        <v>32</v>
      </c>
      <c r="L105" s="1">
        <f t="shared" si="3"/>
        <v>0.86486486486486491</v>
      </c>
    </row>
    <row r="106" spans="1:12" x14ac:dyDescent="0.2">
      <c r="A106">
        <v>114</v>
      </c>
      <c r="B106" t="s">
        <v>581</v>
      </c>
      <c r="C106">
        <v>44</v>
      </c>
      <c r="D106">
        <v>43</v>
      </c>
      <c r="E106">
        <v>7</v>
      </c>
      <c r="F106" t="s">
        <v>703</v>
      </c>
      <c r="G106" t="s">
        <v>700</v>
      </c>
      <c r="H106" t="str">
        <f>VLOOKUP(B106,ColesStoreData!$B:$F,2,0)</f>
        <v>WA</v>
      </c>
      <c r="I106">
        <f>VLOOKUP(B106,ColesStoreData!$B:$F,3,0)</f>
        <v>8055</v>
      </c>
      <c r="J106">
        <f>VLOOKUP(B106,ColesStoreData!$B:$F,5,0)</f>
        <v>1700</v>
      </c>
      <c r="K106">
        <f t="shared" si="2"/>
        <v>36</v>
      </c>
      <c r="L106" s="1">
        <f t="shared" si="3"/>
        <v>0.83720930232558144</v>
      </c>
    </row>
    <row r="107" spans="1:12" x14ac:dyDescent="0.2">
      <c r="A107">
        <v>115</v>
      </c>
      <c r="B107" t="s">
        <v>580</v>
      </c>
      <c r="C107">
        <v>27</v>
      </c>
      <c r="D107">
        <v>40</v>
      </c>
      <c r="E107">
        <v>7</v>
      </c>
      <c r="F107" t="s">
        <v>703</v>
      </c>
      <c r="G107" t="s">
        <v>702</v>
      </c>
      <c r="H107" t="str">
        <f>VLOOKUP(B107,ColesStoreData!$B:$F,2,0)</f>
        <v>NSW</v>
      </c>
      <c r="I107">
        <f>VLOOKUP(B107,ColesStoreData!$B:$F,3,0)</f>
        <v>6700</v>
      </c>
      <c r="J107">
        <f>VLOOKUP(B107,ColesStoreData!$B:$F,5,0)</f>
        <v>1700</v>
      </c>
      <c r="K107">
        <f t="shared" si="2"/>
        <v>33</v>
      </c>
      <c r="L107" s="1">
        <f t="shared" si="3"/>
        <v>0.82499999999999996</v>
      </c>
    </row>
    <row r="108" spans="1:12" x14ac:dyDescent="0.2">
      <c r="A108">
        <v>117</v>
      </c>
      <c r="B108" t="s">
        <v>578</v>
      </c>
      <c r="C108">
        <v>32</v>
      </c>
      <c r="D108">
        <v>36</v>
      </c>
      <c r="E108">
        <v>11</v>
      </c>
      <c r="F108" t="s">
        <v>701</v>
      </c>
      <c r="G108" t="s">
        <v>700</v>
      </c>
      <c r="H108" t="str">
        <f>VLOOKUP(B108,ColesStoreData!$B:$F,2,0)</f>
        <v>VIC</v>
      </c>
      <c r="I108">
        <f>VLOOKUP(B108,ColesStoreData!$B:$F,3,0)</f>
        <v>9312</v>
      </c>
      <c r="J108">
        <f>VLOOKUP(B108,ColesStoreData!$B:$F,5,0)</f>
        <v>1700</v>
      </c>
      <c r="K108">
        <f t="shared" si="2"/>
        <v>25</v>
      </c>
      <c r="L108" s="1">
        <f t="shared" si="3"/>
        <v>0.69444444444444442</v>
      </c>
    </row>
    <row r="109" spans="1:12" x14ac:dyDescent="0.2">
      <c r="A109">
        <v>119</v>
      </c>
      <c r="B109" t="s">
        <v>576</v>
      </c>
      <c r="C109">
        <v>32</v>
      </c>
      <c r="D109">
        <v>33</v>
      </c>
      <c r="E109">
        <v>9</v>
      </c>
      <c r="F109" t="s">
        <v>703</v>
      </c>
      <c r="G109" t="s">
        <v>700</v>
      </c>
      <c r="H109" t="str">
        <f>VLOOKUP(B109,ColesStoreData!$B:$F,2,0)</f>
        <v>VIC</v>
      </c>
      <c r="I109">
        <f>VLOOKUP(B109,ColesStoreData!$B:$F,3,0)</f>
        <v>8566</v>
      </c>
      <c r="J109">
        <f>VLOOKUP(B109,ColesStoreData!$B:$F,5,0)</f>
        <v>1700</v>
      </c>
      <c r="K109">
        <f t="shared" si="2"/>
        <v>24</v>
      </c>
      <c r="L109" s="1">
        <f t="shared" si="3"/>
        <v>0.72727272727272729</v>
      </c>
    </row>
    <row r="110" spans="1:12" x14ac:dyDescent="0.2">
      <c r="A110">
        <v>120</v>
      </c>
      <c r="B110" t="s">
        <v>575</v>
      </c>
      <c r="C110">
        <v>21</v>
      </c>
      <c r="D110">
        <v>50</v>
      </c>
      <c r="E110">
        <v>11</v>
      </c>
      <c r="F110" t="s">
        <v>701</v>
      </c>
      <c r="G110" t="s">
        <v>702</v>
      </c>
      <c r="H110" t="str">
        <f>VLOOKUP(B110,ColesStoreData!$B:$F,2,0)</f>
        <v>NSW</v>
      </c>
      <c r="I110">
        <f>VLOOKUP(B110,ColesStoreData!$B:$F,3,0)</f>
        <v>9147</v>
      </c>
      <c r="J110">
        <f>VLOOKUP(B110,ColesStoreData!$B:$F,5,0)</f>
        <v>1900</v>
      </c>
      <c r="K110">
        <f t="shared" si="2"/>
        <v>39</v>
      </c>
      <c r="L110" s="1">
        <f t="shared" si="3"/>
        <v>0.78</v>
      </c>
    </row>
    <row r="111" spans="1:12" x14ac:dyDescent="0.2">
      <c r="A111">
        <v>121</v>
      </c>
      <c r="B111" t="s">
        <v>574</v>
      </c>
      <c r="C111">
        <v>48</v>
      </c>
      <c r="D111">
        <v>31</v>
      </c>
      <c r="E111">
        <v>7</v>
      </c>
      <c r="F111" t="s">
        <v>701</v>
      </c>
      <c r="G111" t="s">
        <v>700</v>
      </c>
      <c r="H111" t="str">
        <f>VLOOKUP(B111,ColesStoreData!$B:$F,2,0)</f>
        <v>SA</v>
      </c>
      <c r="I111">
        <f>VLOOKUP(B111,ColesStoreData!$B:$F,3,0)</f>
        <v>6713</v>
      </c>
      <c r="J111">
        <f>VLOOKUP(B111,ColesStoreData!$B:$F,5,0)</f>
        <v>1700</v>
      </c>
      <c r="K111">
        <f t="shared" si="2"/>
        <v>24</v>
      </c>
      <c r="L111" s="1">
        <f t="shared" si="3"/>
        <v>0.77419354838709675</v>
      </c>
    </row>
    <row r="112" spans="1:12" x14ac:dyDescent="0.2">
      <c r="A112">
        <v>122</v>
      </c>
      <c r="B112" t="s">
        <v>573</v>
      </c>
      <c r="C112">
        <v>43</v>
      </c>
      <c r="D112">
        <v>50</v>
      </c>
      <c r="E112">
        <v>14</v>
      </c>
      <c r="F112" t="s">
        <v>701</v>
      </c>
      <c r="G112" t="s">
        <v>700</v>
      </c>
      <c r="H112" t="str">
        <f>VLOOKUP(B112,ColesStoreData!$B:$F,2,0)</f>
        <v>QLD</v>
      </c>
      <c r="I112">
        <f>VLOOKUP(B112,ColesStoreData!$B:$F,3,0)</f>
        <v>8214</v>
      </c>
      <c r="J112">
        <f>VLOOKUP(B112,ColesStoreData!$B:$F,5,0)</f>
        <v>1900</v>
      </c>
      <c r="K112">
        <f t="shared" si="2"/>
        <v>36</v>
      </c>
      <c r="L112" s="1">
        <f t="shared" si="3"/>
        <v>0.72</v>
      </c>
    </row>
    <row r="113" spans="1:12" x14ac:dyDescent="0.2">
      <c r="A113">
        <v>123</v>
      </c>
      <c r="B113" t="s">
        <v>572</v>
      </c>
      <c r="C113">
        <v>22</v>
      </c>
      <c r="D113">
        <v>48</v>
      </c>
      <c r="E113">
        <v>8</v>
      </c>
      <c r="F113" t="s">
        <v>701</v>
      </c>
      <c r="G113" t="s">
        <v>702</v>
      </c>
      <c r="H113" t="str">
        <f>VLOOKUP(B113,ColesStoreData!$B:$F,2,0)</f>
        <v>NSW</v>
      </c>
      <c r="I113">
        <f>VLOOKUP(B113,ColesStoreData!$B:$F,3,0)</f>
        <v>8332</v>
      </c>
      <c r="J113">
        <f>VLOOKUP(B113,ColesStoreData!$B:$F,5,0)</f>
        <v>1900</v>
      </c>
      <c r="K113">
        <f t="shared" si="2"/>
        <v>40</v>
      </c>
      <c r="L113" s="1">
        <f t="shared" si="3"/>
        <v>0.83333333333333337</v>
      </c>
    </row>
    <row r="114" spans="1:12" x14ac:dyDescent="0.2">
      <c r="A114">
        <v>124</v>
      </c>
      <c r="B114" t="s">
        <v>571</v>
      </c>
      <c r="C114">
        <v>24</v>
      </c>
      <c r="D114">
        <v>40</v>
      </c>
      <c r="E114">
        <v>14</v>
      </c>
      <c r="F114" t="s">
        <v>703</v>
      </c>
      <c r="G114" t="s">
        <v>702</v>
      </c>
      <c r="H114" t="str">
        <f>VLOOKUP(B114,ColesStoreData!$B:$F,2,0)</f>
        <v>NSW</v>
      </c>
      <c r="I114">
        <f>VLOOKUP(B114,ColesStoreData!$B:$F,3,0)</f>
        <v>6156</v>
      </c>
      <c r="J114">
        <f>VLOOKUP(B114,ColesStoreData!$B:$F,5,0)</f>
        <v>1700</v>
      </c>
      <c r="K114">
        <f t="shared" si="2"/>
        <v>26</v>
      </c>
      <c r="L114" s="1">
        <f t="shared" si="3"/>
        <v>0.65</v>
      </c>
    </row>
    <row r="115" spans="1:12" x14ac:dyDescent="0.2">
      <c r="A115">
        <v>125</v>
      </c>
      <c r="B115" t="s">
        <v>570</v>
      </c>
      <c r="C115">
        <v>28</v>
      </c>
      <c r="D115">
        <v>29</v>
      </c>
      <c r="E115">
        <v>10</v>
      </c>
      <c r="F115" t="s">
        <v>701</v>
      </c>
      <c r="G115" t="s">
        <v>700</v>
      </c>
      <c r="H115" t="str">
        <f>VLOOKUP(B115,ColesStoreData!$B:$F,2,0)</f>
        <v>NSW</v>
      </c>
      <c r="I115">
        <f>VLOOKUP(B115,ColesStoreData!$B:$F,3,0)</f>
        <v>6992</v>
      </c>
      <c r="J115">
        <f>VLOOKUP(B115,ColesStoreData!$B:$F,5,0)</f>
        <v>1700</v>
      </c>
      <c r="K115">
        <f t="shared" si="2"/>
        <v>19</v>
      </c>
      <c r="L115" s="1">
        <f t="shared" si="3"/>
        <v>0.65517241379310343</v>
      </c>
    </row>
    <row r="116" spans="1:12" x14ac:dyDescent="0.2">
      <c r="A116">
        <v>126</v>
      </c>
      <c r="B116" t="s">
        <v>569</v>
      </c>
      <c r="C116">
        <v>40</v>
      </c>
      <c r="D116">
        <v>36</v>
      </c>
      <c r="E116">
        <v>8</v>
      </c>
      <c r="F116" t="s">
        <v>703</v>
      </c>
      <c r="G116" t="s">
        <v>700</v>
      </c>
      <c r="H116" t="str">
        <f>VLOOKUP(B116,ColesStoreData!$B:$F,2,0)</f>
        <v>QLD</v>
      </c>
      <c r="I116">
        <f>VLOOKUP(B116,ColesStoreData!$B:$F,3,0)</f>
        <v>8878</v>
      </c>
      <c r="J116">
        <f>VLOOKUP(B116,ColesStoreData!$B:$F,5,0)</f>
        <v>1700</v>
      </c>
      <c r="K116">
        <f t="shared" si="2"/>
        <v>28</v>
      </c>
      <c r="L116" s="1">
        <f t="shared" si="3"/>
        <v>0.77777777777777779</v>
      </c>
    </row>
    <row r="117" spans="1:12" x14ac:dyDescent="0.2">
      <c r="A117">
        <v>127</v>
      </c>
      <c r="B117" t="s">
        <v>568</v>
      </c>
      <c r="C117">
        <v>29</v>
      </c>
      <c r="D117">
        <v>53</v>
      </c>
      <c r="E117">
        <v>13</v>
      </c>
      <c r="F117" t="s">
        <v>701</v>
      </c>
      <c r="G117" t="s">
        <v>702</v>
      </c>
      <c r="H117" t="str">
        <f>VLOOKUP(B117,ColesStoreData!$B:$F,2,0)</f>
        <v>VIC</v>
      </c>
      <c r="I117">
        <f>VLOOKUP(B117,ColesStoreData!$B:$F,3,0)</f>
        <v>7704</v>
      </c>
      <c r="J117">
        <f>VLOOKUP(B117,ColesStoreData!$B:$F,5,0)</f>
        <v>1900</v>
      </c>
      <c r="K117">
        <f t="shared" si="2"/>
        <v>40</v>
      </c>
      <c r="L117" s="1">
        <f t="shared" si="3"/>
        <v>0.75471698113207553</v>
      </c>
    </row>
    <row r="118" spans="1:12" x14ac:dyDescent="0.2">
      <c r="A118">
        <v>128</v>
      </c>
      <c r="B118" t="s">
        <v>567</v>
      </c>
      <c r="C118">
        <v>34</v>
      </c>
      <c r="D118">
        <v>29</v>
      </c>
      <c r="E118">
        <v>14</v>
      </c>
      <c r="F118" t="s">
        <v>703</v>
      </c>
      <c r="G118" t="s">
        <v>700</v>
      </c>
      <c r="H118" t="str">
        <f>VLOOKUP(B118,ColesStoreData!$B:$F,2,0)</f>
        <v>VIC</v>
      </c>
      <c r="I118">
        <f>VLOOKUP(B118,ColesStoreData!$B:$F,3,0)</f>
        <v>9454</v>
      </c>
      <c r="J118">
        <f>VLOOKUP(B118,ColesStoreData!$B:$F,5,0)</f>
        <v>1700</v>
      </c>
      <c r="K118">
        <f t="shared" si="2"/>
        <v>15</v>
      </c>
      <c r="L118" s="1">
        <f t="shared" si="3"/>
        <v>0.51724137931034486</v>
      </c>
    </row>
    <row r="119" spans="1:12" x14ac:dyDescent="0.2">
      <c r="A119">
        <v>131</v>
      </c>
      <c r="B119" t="s">
        <v>564</v>
      </c>
      <c r="C119">
        <v>36</v>
      </c>
      <c r="D119">
        <v>42</v>
      </c>
      <c r="E119">
        <v>10</v>
      </c>
      <c r="F119" t="s">
        <v>703</v>
      </c>
      <c r="G119" t="s">
        <v>700</v>
      </c>
      <c r="H119" t="str">
        <f>VLOOKUP(B119,ColesStoreData!$B:$F,2,0)</f>
        <v>VIC</v>
      </c>
      <c r="I119">
        <f>VLOOKUP(B119,ColesStoreData!$B:$F,3,0)</f>
        <v>9254</v>
      </c>
      <c r="J119">
        <f>VLOOKUP(B119,ColesStoreData!$B:$F,5,0)</f>
        <v>1700</v>
      </c>
      <c r="K119">
        <f t="shared" ref="K119:K175" si="4">D119-E119</f>
        <v>32</v>
      </c>
      <c r="L119" s="1">
        <f t="shared" si="3"/>
        <v>0.76190476190476186</v>
      </c>
    </row>
    <row r="120" spans="1:12" x14ac:dyDescent="0.2">
      <c r="A120">
        <v>132</v>
      </c>
      <c r="B120" t="s">
        <v>563</v>
      </c>
      <c r="C120">
        <v>43</v>
      </c>
      <c r="D120">
        <v>53</v>
      </c>
      <c r="E120">
        <v>11</v>
      </c>
      <c r="F120" t="s">
        <v>701</v>
      </c>
      <c r="G120" t="s">
        <v>700</v>
      </c>
      <c r="H120" t="str">
        <f>VLOOKUP(B120,ColesStoreData!$B:$F,2,0)</f>
        <v>QLD</v>
      </c>
      <c r="I120">
        <f>VLOOKUP(B120,ColesStoreData!$B:$F,3,0)</f>
        <v>9413</v>
      </c>
      <c r="J120">
        <f>VLOOKUP(B120,ColesStoreData!$B:$F,5,0)</f>
        <v>1900</v>
      </c>
      <c r="K120">
        <f t="shared" si="4"/>
        <v>42</v>
      </c>
      <c r="L120" s="1">
        <f t="shared" si="3"/>
        <v>0.79245283018867929</v>
      </c>
    </row>
    <row r="121" spans="1:12" x14ac:dyDescent="0.2">
      <c r="A121">
        <v>133</v>
      </c>
      <c r="B121" t="s">
        <v>562</v>
      </c>
      <c r="C121">
        <v>46</v>
      </c>
      <c r="D121">
        <v>28</v>
      </c>
      <c r="E121">
        <v>12</v>
      </c>
      <c r="F121" t="s">
        <v>703</v>
      </c>
      <c r="G121" t="s">
        <v>700</v>
      </c>
      <c r="H121" t="str">
        <f>VLOOKUP(B121,ColesStoreData!$B:$F,2,0)</f>
        <v>WA</v>
      </c>
      <c r="I121">
        <f>VLOOKUP(B121,ColesStoreData!$B:$F,3,0)</f>
        <v>8423</v>
      </c>
      <c r="J121">
        <f>VLOOKUP(B121,ColesStoreData!$B:$F,5,0)</f>
        <v>1700</v>
      </c>
      <c r="K121">
        <f t="shared" si="4"/>
        <v>16</v>
      </c>
      <c r="L121" s="1">
        <f t="shared" si="3"/>
        <v>0.5714285714285714</v>
      </c>
    </row>
    <row r="122" spans="1:12" x14ac:dyDescent="0.2">
      <c r="A122">
        <v>134</v>
      </c>
      <c r="B122" t="s">
        <v>561</v>
      </c>
      <c r="C122">
        <v>37</v>
      </c>
      <c r="D122">
        <v>32</v>
      </c>
      <c r="E122">
        <v>11</v>
      </c>
      <c r="F122" t="s">
        <v>701</v>
      </c>
      <c r="G122" t="s">
        <v>700</v>
      </c>
      <c r="H122" t="str">
        <f>VLOOKUP(B122,ColesStoreData!$B:$F,2,0)</f>
        <v>VIC</v>
      </c>
      <c r="I122">
        <f>VLOOKUP(B122,ColesStoreData!$B:$F,3,0)</f>
        <v>9380</v>
      </c>
      <c r="J122">
        <f>VLOOKUP(B122,ColesStoreData!$B:$F,5,0)</f>
        <v>1700</v>
      </c>
      <c r="K122">
        <f t="shared" si="4"/>
        <v>21</v>
      </c>
      <c r="L122" s="1">
        <f t="shared" si="3"/>
        <v>0.65625</v>
      </c>
    </row>
    <row r="123" spans="1:12" x14ac:dyDescent="0.2">
      <c r="A123">
        <v>135</v>
      </c>
      <c r="B123" t="s">
        <v>560</v>
      </c>
      <c r="C123">
        <v>32</v>
      </c>
      <c r="D123">
        <v>35</v>
      </c>
      <c r="E123">
        <v>15</v>
      </c>
      <c r="F123" t="s">
        <v>701</v>
      </c>
      <c r="G123" t="s">
        <v>700</v>
      </c>
      <c r="H123" t="str">
        <f>VLOOKUP(B123,ColesStoreData!$B:$F,2,0)</f>
        <v>VIC</v>
      </c>
      <c r="I123">
        <f>VLOOKUP(B123,ColesStoreData!$B:$F,3,0)</f>
        <v>8736</v>
      </c>
      <c r="J123">
        <f>VLOOKUP(B123,ColesStoreData!$B:$F,5,0)</f>
        <v>1700</v>
      </c>
      <c r="K123">
        <f t="shared" si="4"/>
        <v>20</v>
      </c>
      <c r="L123" s="1">
        <f t="shared" si="3"/>
        <v>0.5714285714285714</v>
      </c>
    </row>
    <row r="124" spans="1:12" x14ac:dyDescent="0.2">
      <c r="A124">
        <v>136</v>
      </c>
      <c r="B124" t="s">
        <v>559</v>
      </c>
      <c r="C124">
        <v>35</v>
      </c>
      <c r="D124">
        <v>48</v>
      </c>
      <c r="E124">
        <v>9</v>
      </c>
      <c r="F124" t="s">
        <v>701</v>
      </c>
      <c r="G124" t="s">
        <v>702</v>
      </c>
      <c r="H124" t="str">
        <f>VLOOKUP(B124,ColesStoreData!$B:$F,2,0)</f>
        <v>VIC</v>
      </c>
      <c r="I124">
        <f>VLOOKUP(B124,ColesStoreData!$B:$F,3,0)</f>
        <v>7259</v>
      </c>
      <c r="J124">
        <f>VLOOKUP(B124,ColesStoreData!$B:$F,5,0)</f>
        <v>1900</v>
      </c>
      <c r="K124">
        <f t="shared" si="4"/>
        <v>39</v>
      </c>
      <c r="L124" s="1">
        <f t="shared" si="3"/>
        <v>0.8125</v>
      </c>
    </row>
    <row r="125" spans="1:12" x14ac:dyDescent="0.2">
      <c r="A125">
        <v>137</v>
      </c>
      <c r="B125" t="s">
        <v>558</v>
      </c>
      <c r="C125">
        <v>30</v>
      </c>
      <c r="D125">
        <v>53</v>
      </c>
      <c r="E125">
        <v>12</v>
      </c>
      <c r="F125" t="s">
        <v>703</v>
      </c>
      <c r="G125" t="s">
        <v>702</v>
      </c>
      <c r="H125" t="str">
        <f>VLOOKUP(B125,ColesStoreData!$B:$F,2,0)</f>
        <v>VIC</v>
      </c>
      <c r="I125">
        <f>VLOOKUP(B125,ColesStoreData!$B:$F,3,0)</f>
        <v>7798</v>
      </c>
      <c r="J125">
        <f>VLOOKUP(B125,ColesStoreData!$B:$F,5,0)</f>
        <v>1900</v>
      </c>
      <c r="K125">
        <f t="shared" si="4"/>
        <v>41</v>
      </c>
      <c r="L125" s="1">
        <f t="shared" si="3"/>
        <v>0.77358490566037741</v>
      </c>
    </row>
    <row r="126" spans="1:12" x14ac:dyDescent="0.2">
      <c r="A126">
        <v>138</v>
      </c>
      <c r="B126" t="s">
        <v>557</v>
      </c>
      <c r="C126">
        <v>25</v>
      </c>
      <c r="D126">
        <v>30</v>
      </c>
      <c r="E126">
        <v>5</v>
      </c>
      <c r="F126" t="s">
        <v>701</v>
      </c>
      <c r="G126" t="s">
        <v>702</v>
      </c>
      <c r="H126" t="str">
        <f>VLOOKUP(B126,ColesStoreData!$B:$F,2,0)</f>
        <v>NSW</v>
      </c>
      <c r="I126">
        <f>VLOOKUP(B126,ColesStoreData!$B:$F,3,0)</f>
        <v>6058</v>
      </c>
      <c r="J126">
        <f>VLOOKUP(B126,ColesStoreData!$B:$F,5,0)</f>
        <v>1700</v>
      </c>
      <c r="K126">
        <f t="shared" si="4"/>
        <v>25</v>
      </c>
      <c r="L126" s="1">
        <f t="shared" si="3"/>
        <v>0.83333333333333337</v>
      </c>
    </row>
    <row r="127" spans="1:12" x14ac:dyDescent="0.2">
      <c r="A127">
        <v>139</v>
      </c>
      <c r="B127" t="s">
        <v>556</v>
      </c>
      <c r="C127">
        <v>30</v>
      </c>
      <c r="D127">
        <v>31</v>
      </c>
      <c r="E127">
        <v>4</v>
      </c>
      <c r="F127" t="s">
        <v>701</v>
      </c>
      <c r="G127" t="s">
        <v>700</v>
      </c>
      <c r="H127" t="str">
        <f>VLOOKUP(B127,ColesStoreData!$B:$F,2,0)</f>
        <v>VIC</v>
      </c>
      <c r="I127">
        <f>VLOOKUP(B127,ColesStoreData!$B:$F,3,0)</f>
        <v>6399</v>
      </c>
      <c r="J127">
        <f>VLOOKUP(B127,ColesStoreData!$B:$F,5,0)</f>
        <v>1700</v>
      </c>
      <c r="K127">
        <f t="shared" si="4"/>
        <v>27</v>
      </c>
      <c r="L127" s="1">
        <f t="shared" ref="L127:L189" si="5">K127/D127</f>
        <v>0.87096774193548387</v>
      </c>
    </row>
    <row r="128" spans="1:12" x14ac:dyDescent="0.2">
      <c r="A128">
        <v>140</v>
      </c>
      <c r="B128" t="s">
        <v>555</v>
      </c>
      <c r="C128">
        <v>39</v>
      </c>
      <c r="D128">
        <v>29</v>
      </c>
      <c r="E128">
        <v>4</v>
      </c>
      <c r="F128" t="s">
        <v>701</v>
      </c>
      <c r="G128" t="s">
        <v>700</v>
      </c>
      <c r="H128" t="str">
        <f>VLOOKUP(B128,ColesStoreData!$B:$F,2,0)</f>
        <v>QLD</v>
      </c>
      <c r="I128">
        <f>VLOOKUP(B128,ColesStoreData!$B:$F,3,0)</f>
        <v>8893</v>
      </c>
      <c r="J128">
        <f>VLOOKUP(B128,ColesStoreData!$B:$F,5,0)</f>
        <v>1700</v>
      </c>
      <c r="K128">
        <f t="shared" si="4"/>
        <v>25</v>
      </c>
      <c r="L128" s="1">
        <f t="shared" si="5"/>
        <v>0.86206896551724133</v>
      </c>
    </row>
    <row r="129" spans="1:12" x14ac:dyDescent="0.2">
      <c r="A129">
        <v>141</v>
      </c>
      <c r="B129" t="s">
        <v>554</v>
      </c>
      <c r="C129">
        <v>39</v>
      </c>
      <c r="D129">
        <v>48</v>
      </c>
      <c r="E129">
        <v>9</v>
      </c>
      <c r="F129" t="s">
        <v>701</v>
      </c>
      <c r="G129" t="s">
        <v>702</v>
      </c>
      <c r="H129" t="str">
        <f>VLOOKUP(B129,ColesStoreData!$B:$F,2,0)</f>
        <v>QLD</v>
      </c>
      <c r="I129">
        <f>VLOOKUP(B129,ColesStoreData!$B:$F,3,0)</f>
        <v>9662</v>
      </c>
      <c r="J129">
        <f>VLOOKUP(B129,ColesStoreData!$B:$F,5,0)</f>
        <v>1900</v>
      </c>
      <c r="K129">
        <f t="shared" si="4"/>
        <v>39</v>
      </c>
      <c r="L129" s="1">
        <f t="shared" si="5"/>
        <v>0.8125</v>
      </c>
    </row>
    <row r="130" spans="1:12" x14ac:dyDescent="0.2">
      <c r="A130">
        <v>142</v>
      </c>
      <c r="B130" t="s">
        <v>553</v>
      </c>
      <c r="C130">
        <v>27</v>
      </c>
      <c r="D130">
        <v>55</v>
      </c>
      <c r="E130">
        <v>14</v>
      </c>
      <c r="F130" t="s">
        <v>701</v>
      </c>
      <c r="G130" t="s">
        <v>702</v>
      </c>
      <c r="H130" t="str">
        <f>VLOOKUP(B130,ColesStoreData!$B:$F,2,0)</f>
        <v>NSW</v>
      </c>
      <c r="I130">
        <f>VLOOKUP(B130,ColesStoreData!$B:$F,3,0)</f>
        <v>52103</v>
      </c>
      <c r="J130">
        <f>VLOOKUP(B130,ColesStoreData!$B:$F,5,0)</f>
        <v>2500</v>
      </c>
      <c r="K130">
        <f t="shared" si="4"/>
        <v>41</v>
      </c>
      <c r="L130" s="1">
        <f t="shared" si="5"/>
        <v>0.74545454545454548</v>
      </c>
    </row>
    <row r="131" spans="1:12" x14ac:dyDescent="0.2">
      <c r="A131">
        <v>143</v>
      </c>
      <c r="B131" t="s">
        <v>552</v>
      </c>
      <c r="C131">
        <v>22</v>
      </c>
      <c r="D131">
        <v>26</v>
      </c>
      <c r="E131">
        <v>11</v>
      </c>
      <c r="F131" t="s">
        <v>703</v>
      </c>
      <c r="G131" t="s">
        <v>700</v>
      </c>
      <c r="H131" t="str">
        <f>VLOOKUP(B131,ColesStoreData!$B:$F,2,0)</f>
        <v>NSW</v>
      </c>
      <c r="I131">
        <f>VLOOKUP(B131,ColesStoreData!$B:$F,3,0)</f>
        <v>9543</v>
      </c>
      <c r="J131">
        <f>VLOOKUP(B131,ColesStoreData!$B:$F,5,0)</f>
        <v>1700</v>
      </c>
      <c r="K131">
        <f t="shared" si="4"/>
        <v>15</v>
      </c>
      <c r="L131" s="1">
        <f t="shared" si="5"/>
        <v>0.57692307692307687</v>
      </c>
    </row>
    <row r="132" spans="1:12" x14ac:dyDescent="0.2">
      <c r="A132">
        <v>144</v>
      </c>
      <c r="B132" t="s">
        <v>551</v>
      </c>
      <c r="C132">
        <v>31</v>
      </c>
      <c r="D132">
        <v>43</v>
      </c>
      <c r="E132">
        <v>8</v>
      </c>
      <c r="F132" t="s">
        <v>703</v>
      </c>
      <c r="G132" t="s">
        <v>702</v>
      </c>
      <c r="H132" t="str">
        <f>VLOOKUP(B132,ColesStoreData!$B:$F,2,0)</f>
        <v>VIC</v>
      </c>
      <c r="I132">
        <f>VLOOKUP(B132,ColesStoreData!$B:$F,3,0)</f>
        <v>9220</v>
      </c>
      <c r="J132">
        <f>VLOOKUP(B132,ColesStoreData!$B:$F,5,0)</f>
        <v>1700</v>
      </c>
      <c r="K132">
        <f t="shared" si="4"/>
        <v>35</v>
      </c>
      <c r="L132" s="1">
        <f t="shared" si="5"/>
        <v>0.81395348837209303</v>
      </c>
    </row>
    <row r="133" spans="1:12" x14ac:dyDescent="0.2">
      <c r="A133">
        <v>146</v>
      </c>
      <c r="B133" t="s">
        <v>549</v>
      </c>
      <c r="C133">
        <v>49</v>
      </c>
      <c r="D133">
        <v>45</v>
      </c>
      <c r="E133">
        <v>7</v>
      </c>
      <c r="F133" t="s">
        <v>701</v>
      </c>
      <c r="G133" t="s">
        <v>700</v>
      </c>
      <c r="H133" t="str">
        <f>VLOOKUP(B133,ColesStoreData!$B:$F,2,0)</f>
        <v>ACT</v>
      </c>
      <c r="I133">
        <f>VLOOKUP(B133,ColesStoreData!$B:$F,3,0)</f>
        <v>8363</v>
      </c>
      <c r="J133">
        <f>VLOOKUP(B133,ColesStoreData!$B:$F,5,0)</f>
        <v>1900</v>
      </c>
      <c r="K133">
        <f t="shared" si="4"/>
        <v>38</v>
      </c>
      <c r="L133" s="1">
        <f t="shared" si="5"/>
        <v>0.84444444444444444</v>
      </c>
    </row>
    <row r="134" spans="1:12" x14ac:dyDescent="0.2">
      <c r="A134">
        <v>147</v>
      </c>
      <c r="B134" t="s">
        <v>548</v>
      </c>
      <c r="C134">
        <v>44</v>
      </c>
      <c r="D134">
        <v>59</v>
      </c>
      <c r="E134">
        <v>14</v>
      </c>
      <c r="F134" t="s">
        <v>703</v>
      </c>
      <c r="G134" t="s">
        <v>702</v>
      </c>
      <c r="H134" t="str">
        <f>VLOOKUP(B134,ColesStoreData!$B:$F,2,0)</f>
        <v>WA</v>
      </c>
      <c r="I134">
        <f>VLOOKUP(B134,ColesStoreData!$B:$F,3,0)</f>
        <v>9690</v>
      </c>
      <c r="J134">
        <f>VLOOKUP(B134,ColesStoreData!$B:$F,5,0)</f>
        <v>2700</v>
      </c>
      <c r="K134">
        <f t="shared" si="4"/>
        <v>45</v>
      </c>
      <c r="L134" s="1">
        <f t="shared" si="5"/>
        <v>0.76271186440677963</v>
      </c>
    </row>
    <row r="135" spans="1:12" x14ac:dyDescent="0.2">
      <c r="A135">
        <v>148</v>
      </c>
      <c r="B135" t="s">
        <v>547</v>
      </c>
      <c r="C135">
        <v>24</v>
      </c>
      <c r="D135">
        <v>49</v>
      </c>
      <c r="E135">
        <v>6</v>
      </c>
      <c r="F135" t="s">
        <v>703</v>
      </c>
      <c r="G135" t="s">
        <v>702</v>
      </c>
      <c r="H135" t="str">
        <f>VLOOKUP(B135,ColesStoreData!$B:$F,2,0)</f>
        <v>NSW</v>
      </c>
      <c r="I135">
        <f>VLOOKUP(B135,ColesStoreData!$B:$F,3,0)</f>
        <v>8948</v>
      </c>
      <c r="J135">
        <f>VLOOKUP(B135,ColesStoreData!$B:$F,5,0)</f>
        <v>1900</v>
      </c>
      <c r="K135">
        <f t="shared" si="4"/>
        <v>43</v>
      </c>
      <c r="L135" s="1">
        <f t="shared" si="5"/>
        <v>0.87755102040816324</v>
      </c>
    </row>
    <row r="136" spans="1:12" x14ac:dyDescent="0.2">
      <c r="A136">
        <v>149</v>
      </c>
      <c r="B136" t="s">
        <v>546</v>
      </c>
      <c r="C136">
        <v>50</v>
      </c>
      <c r="D136">
        <v>43</v>
      </c>
      <c r="E136">
        <v>11</v>
      </c>
      <c r="F136" t="s">
        <v>701</v>
      </c>
      <c r="G136" t="s">
        <v>700</v>
      </c>
      <c r="H136" t="str">
        <f>VLOOKUP(B136,ColesStoreData!$B:$F,2,0)</f>
        <v>NT</v>
      </c>
      <c r="I136">
        <f>VLOOKUP(B136,ColesStoreData!$B:$F,3,0)</f>
        <v>6047</v>
      </c>
      <c r="J136">
        <f>VLOOKUP(B136,ColesStoreData!$B:$F,5,0)</f>
        <v>1700</v>
      </c>
      <c r="K136">
        <f t="shared" si="4"/>
        <v>32</v>
      </c>
      <c r="L136" s="1">
        <f t="shared" si="5"/>
        <v>0.7441860465116279</v>
      </c>
    </row>
    <row r="137" spans="1:12" x14ac:dyDescent="0.2">
      <c r="A137">
        <v>150</v>
      </c>
      <c r="B137" t="s">
        <v>545</v>
      </c>
      <c r="C137">
        <v>44</v>
      </c>
      <c r="D137">
        <v>40</v>
      </c>
      <c r="E137">
        <v>6</v>
      </c>
      <c r="F137" t="s">
        <v>703</v>
      </c>
      <c r="G137" t="s">
        <v>700</v>
      </c>
      <c r="H137" t="str">
        <f>VLOOKUP(B137,ColesStoreData!$B:$F,2,0)</f>
        <v>WA</v>
      </c>
      <c r="I137">
        <f>VLOOKUP(B137,ColesStoreData!$B:$F,3,0)</f>
        <v>6010</v>
      </c>
      <c r="J137">
        <f>VLOOKUP(B137,ColesStoreData!$B:$F,5,0)</f>
        <v>1700</v>
      </c>
      <c r="K137">
        <f t="shared" si="4"/>
        <v>34</v>
      </c>
      <c r="L137" s="1">
        <f t="shared" si="5"/>
        <v>0.85</v>
      </c>
    </row>
    <row r="138" spans="1:12" x14ac:dyDescent="0.2">
      <c r="A138">
        <v>151</v>
      </c>
      <c r="B138" t="s">
        <v>544</v>
      </c>
      <c r="C138">
        <v>21</v>
      </c>
      <c r="D138">
        <v>46</v>
      </c>
      <c r="E138">
        <v>9</v>
      </c>
      <c r="F138" t="s">
        <v>701</v>
      </c>
      <c r="G138" t="s">
        <v>702</v>
      </c>
      <c r="H138" t="str">
        <f>VLOOKUP(B138,ColesStoreData!$B:$F,2,0)</f>
        <v>NSW</v>
      </c>
      <c r="I138">
        <f>VLOOKUP(B138,ColesStoreData!$B:$F,3,0)</f>
        <v>7484</v>
      </c>
      <c r="J138">
        <f>VLOOKUP(B138,ColesStoreData!$B:$F,5,0)</f>
        <v>1900</v>
      </c>
      <c r="K138">
        <f t="shared" si="4"/>
        <v>37</v>
      </c>
      <c r="L138" s="1">
        <f t="shared" si="5"/>
        <v>0.80434782608695654</v>
      </c>
    </row>
    <row r="139" spans="1:12" x14ac:dyDescent="0.2">
      <c r="A139">
        <v>152</v>
      </c>
      <c r="B139" t="s">
        <v>543</v>
      </c>
      <c r="C139">
        <v>33</v>
      </c>
      <c r="D139">
        <v>51</v>
      </c>
      <c r="E139">
        <v>9</v>
      </c>
      <c r="F139" t="s">
        <v>701</v>
      </c>
      <c r="G139" t="s">
        <v>702</v>
      </c>
      <c r="H139" t="str">
        <f>VLOOKUP(B139,ColesStoreData!$B:$F,2,0)</f>
        <v>VIC</v>
      </c>
      <c r="I139">
        <f>VLOOKUP(B139,ColesStoreData!$B:$F,3,0)</f>
        <v>6284</v>
      </c>
      <c r="J139">
        <f>VLOOKUP(B139,ColesStoreData!$B:$F,5,0)</f>
        <v>1900</v>
      </c>
      <c r="K139">
        <f t="shared" si="4"/>
        <v>42</v>
      </c>
      <c r="L139" s="1">
        <f t="shared" si="5"/>
        <v>0.82352941176470584</v>
      </c>
    </row>
    <row r="140" spans="1:12" x14ac:dyDescent="0.2">
      <c r="A140">
        <v>153</v>
      </c>
      <c r="B140" t="s">
        <v>542</v>
      </c>
      <c r="C140">
        <v>29</v>
      </c>
      <c r="D140">
        <v>54</v>
      </c>
      <c r="E140">
        <v>9</v>
      </c>
      <c r="F140" t="s">
        <v>701</v>
      </c>
      <c r="G140" t="s">
        <v>702</v>
      </c>
      <c r="H140" t="str">
        <f>VLOOKUP(B140,ColesStoreData!$B:$F,2,0)</f>
        <v>VIC</v>
      </c>
      <c r="I140">
        <f>VLOOKUP(B140,ColesStoreData!$B:$F,3,0)</f>
        <v>42361</v>
      </c>
      <c r="J140">
        <f>VLOOKUP(B140,ColesStoreData!$B:$F,5,0)</f>
        <v>2500</v>
      </c>
      <c r="K140">
        <f t="shared" si="4"/>
        <v>45</v>
      </c>
      <c r="L140" s="1">
        <f t="shared" si="5"/>
        <v>0.83333333333333337</v>
      </c>
    </row>
    <row r="141" spans="1:12" x14ac:dyDescent="0.2">
      <c r="A141">
        <v>154</v>
      </c>
      <c r="B141" t="s">
        <v>541</v>
      </c>
      <c r="C141">
        <v>31</v>
      </c>
      <c r="D141">
        <v>47</v>
      </c>
      <c r="E141">
        <v>9</v>
      </c>
      <c r="F141" t="s">
        <v>701</v>
      </c>
      <c r="G141" t="s">
        <v>702</v>
      </c>
      <c r="H141" t="str">
        <f>VLOOKUP(B141,ColesStoreData!$B:$F,2,0)</f>
        <v>VIC</v>
      </c>
      <c r="I141">
        <f>VLOOKUP(B141,ColesStoreData!$B:$F,3,0)</f>
        <v>6354</v>
      </c>
      <c r="J141">
        <f>VLOOKUP(B141,ColesStoreData!$B:$F,5,0)</f>
        <v>1900</v>
      </c>
      <c r="K141">
        <f t="shared" si="4"/>
        <v>38</v>
      </c>
      <c r="L141" s="1">
        <f t="shared" si="5"/>
        <v>0.80851063829787229</v>
      </c>
    </row>
    <row r="142" spans="1:12" x14ac:dyDescent="0.2">
      <c r="A142">
        <v>155</v>
      </c>
      <c r="B142" t="s">
        <v>540</v>
      </c>
      <c r="C142">
        <v>31</v>
      </c>
      <c r="D142">
        <v>45</v>
      </c>
      <c r="E142">
        <v>9</v>
      </c>
      <c r="F142" t="s">
        <v>701</v>
      </c>
      <c r="G142" t="s">
        <v>702</v>
      </c>
      <c r="H142" t="str">
        <f>VLOOKUP(B142,ColesStoreData!$B:$F,2,0)</f>
        <v>VIC</v>
      </c>
      <c r="I142">
        <f>VLOOKUP(B142,ColesStoreData!$B:$F,3,0)</f>
        <v>9060</v>
      </c>
      <c r="J142">
        <f>VLOOKUP(B142,ColesStoreData!$B:$F,5,0)</f>
        <v>1900</v>
      </c>
      <c r="K142">
        <f t="shared" si="4"/>
        <v>36</v>
      </c>
      <c r="L142" s="1">
        <f t="shared" si="5"/>
        <v>0.8</v>
      </c>
    </row>
    <row r="143" spans="1:12" x14ac:dyDescent="0.2">
      <c r="A143">
        <v>156</v>
      </c>
      <c r="B143" t="s">
        <v>539</v>
      </c>
      <c r="C143">
        <v>44</v>
      </c>
      <c r="D143">
        <v>45</v>
      </c>
      <c r="E143">
        <v>10</v>
      </c>
      <c r="F143" t="s">
        <v>701</v>
      </c>
      <c r="G143" t="s">
        <v>700</v>
      </c>
      <c r="H143" t="str">
        <f>VLOOKUP(B143,ColesStoreData!$B:$F,2,0)</f>
        <v>WA</v>
      </c>
      <c r="I143">
        <f>VLOOKUP(B143,ColesStoreData!$B:$F,3,0)</f>
        <v>9573</v>
      </c>
      <c r="J143">
        <f>VLOOKUP(B143,ColesStoreData!$B:$F,5,0)</f>
        <v>1900</v>
      </c>
      <c r="K143">
        <f t="shared" si="4"/>
        <v>35</v>
      </c>
      <c r="L143" s="1">
        <f t="shared" si="5"/>
        <v>0.77777777777777779</v>
      </c>
    </row>
    <row r="144" spans="1:12" x14ac:dyDescent="0.2">
      <c r="A144">
        <v>157</v>
      </c>
      <c r="B144" t="s">
        <v>538</v>
      </c>
      <c r="C144">
        <v>20</v>
      </c>
      <c r="D144">
        <v>49</v>
      </c>
      <c r="E144">
        <v>12</v>
      </c>
      <c r="F144" t="s">
        <v>703</v>
      </c>
      <c r="G144" t="s">
        <v>702</v>
      </c>
      <c r="H144" t="str">
        <f>VLOOKUP(B144,ColesStoreData!$B:$F,2,0)</f>
        <v>NSW</v>
      </c>
      <c r="I144">
        <f>VLOOKUP(B144,ColesStoreData!$B:$F,3,0)</f>
        <v>6583</v>
      </c>
      <c r="J144">
        <f>VLOOKUP(B144,ColesStoreData!$B:$F,5,0)</f>
        <v>1900</v>
      </c>
      <c r="K144">
        <f t="shared" si="4"/>
        <v>37</v>
      </c>
      <c r="L144" s="1">
        <f t="shared" si="5"/>
        <v>0.75510204081632648</v>
      </c>
    </row>
    <row r="145" spans="1:12" x14ac:dyDescent="0.2">
      <c r="A145">
        <v>158</v>
      </c>
      <c r="B145" t="s">
        <v>537</v>
      </c>
      <c r="C145">
        <v>33</v>
      </c>
      <c r="D145">
        <v>54</v>
      </c>
      <c r="E145">
        <v>8</v>
      </c>
      <c r="F145" t="s">
        <v>701</v>
      </c>
      <c r="G145" t="s">
        <v>702</v>
      </c>
      <c r="H145" t="str">
        <f>VLOOKUP(B145,ColesStoreData!$B:$F,2,0)</f>
        <v>VIC</v>
      </c>
      <c r="I145">
        <f>VLOOKUP(B145,ColesStoreData!$B:$F,3,0)</f>
        <v>28766</v>
      </c>
      <c r="J145">
        <f>VLOOKUP(B145,ColesStoreData!$B:$F,5,0)</f>
        <v>2500</v>
      </c>
      <c r="K145">
        <f t="shared" si="4"/>
        <v>46</v>
      </c>
      <c r="L145" s="1">
        <f t="shared" si="5"/>
        <v>0.85185185185185186</v>
      </c>
    </row>
    <row r="146" spans="1:12" x14ac:dyDescent="0.2">
      <c r="A146">
        <v>159</v>
      </c>
      <c r="B146" t="s">
        <v>536</v>
      </c>
      <c r="C146">
        <v>30</v>
      </c>
      <c r="D146">
        <v>57</v>
      </c>
      <c r="E146">
        <v>15</v>
      </c>
      <c r="F146" t="s">
        <v>703</v>
      </c>
      <c r="G146" t="s">
        <v>702</v>
      </c>
      <c r="H146" t="str">
        <f>VLOOKUP(B146,ColesStoreData!$B:$F,2,0)</f>
        <v>VIC</v>
      </c>
      <c r="I146">
        <f>VLOOKUP(B146,ColesStoreData!$B:$F,3,0)</f>
        <v>52424</v>
      </c>
      <c r="J146">
        <f>VLOOKUP(B146,ColesStoreData!$B:$F,5,0)</f>
        <v>2700</v>
      </c>
      <c r="K146">
        <f t="shared" si="4"/>
        <v>42</v>
      </c>
      <c r="L146" s="1">
        <f t="shared" si="5"/>
        <v>0.73684210526315785</v>
      </c>
    </row>
    <row r="147" spans="1:12" x14ac:dyDescent="0.2">
      <c r="A147">
        <v>160</v>
      </c>
      <c r="B147" t="s">
        <v>535</v>
      </c>
      <c r="C147">
        <v>49</v>
      </c>
      <c r="D147">
        <v>38</v>
      </c>
      <c r="E147">
        <v>8</v>
      </c>
      <c r="F147" t="s">
        <v>701</v>
      </c>
      <c r="G147" t="s">
        <v>700</v>
      </c>
      <c r="H147" t="str">
        <f>VLOOKUP(B147,ColesStoreData!$B:$F,2,0)</f>
        <v>TAS</v>
      </c>
      <c r="I147">
        <f>VLOOKUP(B147,ColesStoreData!$B:$F,3,0)</f>
        <v>8820</v>
      </c>
      <c r="J147">
        <f>VLOOKUP(B147,ColesStoreData!$B:$F,5,0)</f>
        <v>1700</v>
      </c>
      <c r="K147">
        <f t="shared" si="4"/>
        <v>30</v>
      </c>
      <c r="L147" s="1">
        <f t="shared" si="5"/>
        <v>0.78947368421052633</v>
      </c>
    </row>
    <row r="148" spans="1:12" x14ac:dyDescent="0.2">
      <c r="A148">
        <v>161</v>
      </c>
      <c r="B148" t="s">
        <v>534</v>
      </c>
      <c r="C148">
        <v>44</v>
      </c>
      <c r="D148">
        <v>43</v>
      </c>
      <c r="E148">
        <v>14</v>
      </c>
      <c r="F148" t="s">
        <v>703</v>
      </c>
      <c r="G148" t="s">
        <v>700</v>
      </c>
      <c r="H148" t="str">
        <f>VLOOKUP(B148,ColesStoreData!$B:$F,2,0)</f>
        <v>WA</v>
      </c>
      <c r="I148">
        <f>VLOOKUP(B148,ColesStoreData!$B:$F,3,0)</f>
        <v>8295</v>
      </c>
      <c r="J148">
        <f>VLOOKUP(B148,ColesStoreData!$B:$F,5,0)</f>
        <v>1700</v>
      </c>
      <c r="K148">
        <f t="shared" si="4"/>
        <v>29</v>
      </c>
      <c r="L148" s="1">
        <f t="shared" si="5"/>
        <v>0.67441860465116277</v>
      </c>
    </row>
    <row r="149" spans="1:12" x14ac:dyDescent="0.2">
      <c r="A149">
        <v>163</v>
      </c>
      <c r="B149" t="s">
        <v>532</v>
      </c>
      <c r="C149">
        <v>30</v>
      </c>
      <c r="D149">
        <v>50</v>
      </c>
      <c r="E149">
        <v>15</v>
      </c>
      <c r="F149" t="s">
        <v>703</v>
      </c>
      <c r="G149" t="s">
        <v>702</v>
      </c>
      <c r="H149" t="str">
        <f>VLOOKUP(B149,ColesStoreData!$B:$F,2,0)</f>
        <v>VIC</v>
      </c>
      <c r="I149">
        <f>VLOOKUP(B149,ColesStoreData!$B:$F,3,0)</f>
        <v>8816</v>
      </c>
      <c r="J149">
        <f>VLOOKUP(B149,ColesStoreData!$B:$F,5,0)</f>
        <v>1900</v>
      </c>
      <c r="K149">
        <f t="shared" si="4"/>
        <v>35</v>
      </c>
      <c r="L149" s="1">
        <f t="shared" si="5"/>
        <v>0.7</v>
      </c>
    </row>
    <row r="150" spans="1:12" x14ac:dyDescent="0.2">
      <c r="A150">
        <v>165</v>
      </c>
      <c r="B150" t="s">
        <v>530</v>
      </c>
      <c r="C150">
        <v>40</v>
      </c>
      <c r="D150">
        <v>39</v>
      </c>
      <c r="E150">
        <v>5</v>
      </c>
      <c r="F150" t="s">
        <v>701</v>
      </c>
      <c r="G150" t="s">
        <v>700</v>
      </c>
      <c r="H150" t="str">
        <f>VLOOKUP(B150,ColesStoreData!$B:$F,2,0)</f>
        <v>QLD</v>
      </c>
      <c r="I150">
        <f>VLOOKUP(B150,ColesStoreData!$B:$F,3,0)</f>
        <v>9059</v>
      </c>
      <c r="J150">
        <f>VLOOKUP(B150,ColesStoreData!$B:$F,5,0)</f>
        <v>1700</v>
      </c>
      <c r="K150">
        <f t="shared" si="4"/>
        <v>34</v>
      </c>
      <c r="L150" s="1">
        <f t="shared" si="5"/>
        <v>0.87179487179487181</v>
      </c>
    </row>
    <row r="151" spans="1:12" x14ac:dyDescent="0.2">
      <c r="A151">
        <v>167</v>
      </c>
      <c r="B151" t="s">
        <v>528</v>
      </c>
      <c r="C151">
        <v>20</v>
      </c>
      <c r="D151">
        <v>47</v>
      </c>
      <c r="E151">
        <v>16</v>
      </c>
      <c r="F151" t="s">
        <v>703</v>
      </c>
      <c r="G151" t="s">
        <v>702</v>
      </c>
      <c r="H151" t="str">
        <f>VLOOKUP(B151,ColesStoreData!$B:$F,2,0)</f>
        <v>NSW</v>
      </c>
      <c r="I151">
        <f>VLOOKUP(B151,ColesStoreData!$B:$F,3,0)</f>
        <v>6720</v>
      </c>
      <c r="J151">
        <f>VLOOKUP(B151,ColesStoreData!$B:$F,5,0)</f>
        <v>1900</v>
      </c>
      <c r="K151">
        <f t="shared" si="4"/>
        <v>31</v>
      </c>
      <c r="L151" s="1">
        <f t="shared" si="5"/>
        <v>0.65957446808510634</v>
      </c>
    </row>
    <row r="152" spans="1:12" x14ac:dyDescent="0.2">
      <c r="A152">
        <v>168</v>
      </c>
      <c r="B152" t="s">
        <v>527</v>
      </c>
      <c r="C152">
        <v>28</v>
      </c>
      <c r="D152">
        <v>35</v>
      </c>
      <c r="E152">
        <v>12</v>
      </c>
      <c r="F152" t="s">
        <v>703</v>
      </c>
      <c r="G152" t="s">
        <v>700</v>
      </c>
      <c r="H152" t="str">
        <f>VLOOKUP(B152,ColesStoreData!$B:$F,2,0)</f>
        <v>NSW</v>
      </c>
      <c r="I152">
        <f>VLOOKUP(B152,ColesStoreData!$B:$F,3,0)</f>
        <v>6092</v>
      </c>
      <c r="J152">
        <f>VLOOKUP(B152,ColesStoreData!$B:$F,5,0)</f>
        <v>1700</v>
      </c>
      <c r="K152">
        <f t="shared" si="4"/>
        <v>23</v>
      </c>
      <c r="L152" s="1">
        <f t="shared" si="5"/>
        <v>0.65714285714285714</v>
      </c>
    </row>
    <row r="153" spans="1:12" x14ac:dyDescent="0.2">
      <c r="A153">
        <v>169</v>
      </c>
      <c r="B153" t="s">
        <v>526</v>
      </c>
      <c r="C153">
        <v>33</v>
      </c>
      <c r="D153">
        <v>45</v>
      </c>
      <c r="E153">
        <v>13</v>
      </c>
      <c r="F153" t="s">
        <v>703</v>
      </c>
      <c r="G153" t="s">
        <v>700</v>
      </c>
      <c r="H153" t="str">
        <f>VLOOKUP(B153,ColesStoreData!$B:$F,2,0)</f>
        <v>VIC</v>
      </c>
      <c r="I153">
        <f>VLOOKUP(B153,ColesStoreData!$B:$F,3,0)</f>
        <v>9473</v>
      </c>
      <c r="J153">
        <f>VLOOKUP(B153,ColesStoreData!$B:$F,5,0)</f>
        <v>1900</v>
      </c>
      <c r="K153">
        <f t="shared" si="4"/>
        <v>32</v>
      </c>
      <c r="L153" s="1">
        <f t="shared" si="5"/>
        <v>0.71111111111111114</v>
      </c>
    </row>
    <row r="154" spans="1:12" x14ac:dyDescent="0.2">
      <c r="A154">
        <v>171</v>
      </c>
      <c r="B154" t="s">
        <v>524</v>
      </c>
      <c r="C154">
        <v>38</v>
      </c>
      <c r="D154">
        <v>40</v>
      </c>
      <c r="E154">
        <v>6</v>
      </c>
      <c r="F154" t="s">
        <v>703</v>
      </c>
      <c r="G154" t="s">
        <v>700</v>
      </c>
      <c r="H154" t="str">
        <f>VLOOKUP(B154,ColesStoreData!$B:$F,2,0)</f>
        <v>QLD</v>
      </c>
      <c r="I154">
        <f>VLOOKUP(B154,ColesStoreData!$B:$F,3,0)</f>
        <v>6348</v>
      </c>
      <c r="J154">
        <f>VLOOKUP(B154,ColesStoreData!$B:$F,5,0)</f>
        <v>1700</v>
      </c>
      <c r="K154">
        <f t="shared" si="4"/>
        <v>34</v>
      </c>
      <c r="L154" s="1">
        <f t="shared" si="5"/>
        <v>0.85</v>
      </c>
    </row>
    <row r="155" spans="1:12" x14ac:dyDescent="0.2">
      <c r="A155">
        <v>172</v>
      </c>
      <c r="B155" t="s">
        <v>523</v>
      </c>
      <c r="C155">
        <v>28</v>
      </c>
      <c r="D155">
        <v>48</v>
      </c>
      <c r="E155">
        <v>6</v>
      </c>
      <c r="F155" t="s">
        <v>701</v>
      </c>
      <c r="G155" t="s">
        <v>702</v>
      </c>
      <c r="H155" t="str">
        <f>VLOOKUP(B155,ColesStoreData!$B:$F,2,0)</f>
        <v>NSW</v>
      </c>
      <c r="I155">
        <f>VLOOKUP(B155,ColesStoreData!$B:$F,3,0)</f>
        <v>6988</v>
      </c>
      <c r="J155">
        <f>VLOOKUP(B155,ColesStoreData!$B:$F,5,0)</f>
        <v>1900</v>
      </c>
      <c r="K155">
        <f t="shared" si="4"/>
        <v>42</v>
      </c>
      <c r="L155" s="1">
        <f t="shared" si="5"/>
        <v>0.875</v>
      </c>
    </row>
    <row r="156" spans="1:12" x14ac:dyDescent="0.2">
      <c r="A156">
        <v>173</v>
      </c>
      <c r="B156" t="s">
        <v>522</v>
      </c>
      <c r="C156">
        <v>34</v>
      </c>
      <c r="D156">
        <v>35</v>
      </c>
      <c r="E156">
        <v>10</v>
      </c>
      <c r="F156" t="s">
        <v>701</v>
      </c>
      <c r="G156" t="s">
        <v>700</v>
      </c>
      <c r="H156" t="str">
        <f>VLOOKUP(B156,ColesStoreData!$B:$F,2,0)</f>
        <v>VIC</v>
      </c>
      <c r="I156">
        <f>VLOOKUP(B156,ColesStoreData!$B:$F,3,0)</f>
        <v>9148</v>
      </c>
      <c r="J156">
        <f>VLOOKUP(B156,ColesStoreData!$B:$F,5,0)</f>
        <v>1700</v>
      </c>
      <c r="K156">
        <f t="shared" si="4"/>
        <v>25</v>
      </c>
      <c r="L156" s="1">
        <f t="shared" si="5"/>
        <v>0.7142857142857143</v>
      </c>
    </row>
    <row r="157" spans="1:12" x14ac:dyDescent="0.2">
      <c r="A157">
        <v>175</v>
      </c>
      <c r="B157" t="s">
        <v>520</v>
      </c>
      <c r="C157">
        <v>29</v>
      </c>
      <c r="D157">
        <v>37</v>
      </c>
      <c r="E157">
        <v>9</v>
      </c>
      <c r="F157" t="s">
        <v>703</v>
      </c>
      <c r="G157" t="s">
        <v>700</v>
      </c>
      <c r="H157" t="str">
        <f>VLOOKUP(B157,ColesStoreData!$B:$F,2,0)</f>
        <v>VIC</v>
      </c>
      <c r="I157">
        <f>VLOOKUP(B157,ColesStoreData!$B:$F,3,0)</f>
        <v>8237</v>
      </c>
      <c r="J157">
        <f>VLOOKUP(B157,ColesStoreData!$B:$F,5,0)</f>
        <v>1700</v>
      </c>
      <c r="K157">
        <f t="shared" si="4"/>
        <v>28</v>
      </c>
      <c r="L157" s="1">
        <f t="shared" si="5"/>
        <v>0.7567567567567568</v>
      </c>
    </row>
    <row r="158" spans="1:12" x14ac:dyDescent="0.2">
      <c r="A158">
        <v>176</v>
      </c>
      <c r="B158" t="s">
        <v>519</v>
      </c>
      <c r="C158">
        <v>24</v>
      </c>
      <c r="D158">
        <v>40</v>
      </c>
      <c r="E158">
        <v>8</v>
      </c>
      <c r="F158" t="s">
        <v>701</v>
      </c>
      <c r="G158" t="s">
        <v>702</v>
      </c>
      <c r="H158" t="str">
        <f>VLOOKUP(B158,ColesStoreData!$B:$F,2,0)</f>
        <v>NSW</v>
      </c>
      <c r="I158">
        <f>VLOOKUP(B158,ColesStoreData!$B:$F,3,0)</f>
        <v>8940</v>
      </c>
      <c r="J158">
        <f>VLOOKUP(B158,ColesStoreData!$B:$F,5,0)</f>
        <v>1700</v>
      </c>
      <c r="K158">
        <f t="shared" si="4"/>
        <v>32</v>
      </c>
      <c r="L158" s="1">
        <f t="shared" si="5"/>
        <v>0.8</v>
      </c>
    </row>
    <row r="159" spans="1:12" x14ac:dyDescent="0.2">
      <c r="A159">
        <v>177</v>
      </c>
      <c r="B159" t="s">
        <v>518</v>
      </c>
      <c r="C159">
        <v>37</v>
      </c>
      <c r="D159">
        <v>31</v>
      </c>
      <c r="E159">
        <v>13</v>
      </c>
      <c r="F159" t="s">
        <v>701</v>
      </c>
      <c r="G159" t="s">
        <v>700</v>
      </c>
      <c r="H159" t="str">
        <f>VLOOKUP(B159,ColesStoreData!$B:$F,2,0)</f>
        <v>QLD</v>
      </c>
      <c r="I159">
        <f>VLOOKUP(B159,ColesStoreData!$B:$F,3,0)</f>
        <v>8543</v>
      </c>
      <c r="J159">
        <f>VLOOKUP(B159,ColesStoreData!$B:$F,5,0)</f>
        <v>1700</v>
      </c>
      <c r="K159">
        <f t="shared" si="4"/>
        <v>18</v>
      </c>
      <c r="L159" s="1">
        <f t="shared" si="5"/>
        <v>0.58064516129032262</v>
      </c>
    </row>
    <row r="160" spans="1:12" x14ac:dyDescent="0.2">
      <c r="A160">
        <v>178</v>
      </c>
      <c r="B160" t="s">
        <v>517</v>
      </c>
      <c r="C160">
        <v>45</v>
      </c>
      <c r="D160">
        <v>44</v>
      </c>
      <c r="E160">
        <v>9</v>
      </c>
      <c r="F160" t="s">
        <v>703</v>
      </c>
      <c r="G160" t="s">
        <v>700</v>
      </c>
      <c r="H160" t="str">
        <f>VLOOKUP(B160,ColesStoreData!$B:$F,2,0)</f>
        <v>WA</v>
      </c>
      <c r="I160">
        <f>VLOOKUP(B160,ColesStoreData!$B:$F,3,0)</f>
        <v>7709</v>
      </c>
      <c r="J160">
        <f>VLOOKUP(B160,ColesStoreData!$B:$F,5,0)</f>
        <v>1700</v>
      </c>
      <c r="K160">
        <f t="shared" si="4"/>
        <v>35</v>
      </c>
      <c r="L160" s="1">
        <f t="shared" si="5"/>
        <v>0.79545454545454541</v>
      </c>
    </row>
    <row r="161" spans="1:12" x14ac:dyDescent="0.2">
      <c r="A161">
        <v>179</v>
      </c>
      <c r="B161" t="s">
        <v>516</v>
      </c>
      <c r="C161">
        <v>40</v>
      </c>
      <c r="D161">
        <v>36</v>
      </c>
      <c r="E161">
        <v>12</v>
      </c>
      <c r="F161" t="s">
        <v>701</v>
      </c>
      <c r="G161" t="s">
        <v>700</v>
      </c>
      <c r="H161" t="str">
        <f>VLOOKUP(B161,ColesStoreData!$B:$F,2,0)</f>
        <v>QLD</v>
      </c>
      <c r="I161">
        <f>VLOOKUP(B161,ColesStoreData!$B:$F,3,0)</f>
        <v>7373</v>
      </c>
      <c r="J161">
        <f>VLOOKUP(B161,ColesStoreData!$B:$F,5,0)</f>
        <v>1700</v>
      </c>
      <c r="K161">
        <f t="shared" si="4"/>
        <v>24</v>
      </c>
      <c r="L161" s="1">
        <f t="shared" si="5"/>
        <v>0.66666666666666663</v>
      </c>
    </row>
    <row r="162" spans="1:12" x14ac:dyDescent="0.2">
      <c r="A162">
        <v>180</v>
      </c>
      <c r="B162" t="s">
        <v>515</v>
      </c>
      <c r="C162">
        <v>24</v>
      </c>
      <c r="D162">
        <v>47</v>
      </c>
      <c r="E162">
        <v>13</v>
      </c>
      <c r="F162" t="s">
        <v>701</v>
      </c>
      <c r="G162" t="s">
        <v>702</v>
      </c>
      <c r="H162" t="str">
        <f>VLOOKUP(B162,ColesStoreData!$B:$F,2,0)</f>
        <v>NSW</v>
      </c>
      <c r="I162">
        <f>VLOOKUP(B162,ColesStoreData!$B:$F,3,0)</f>
        <v>7256</v>
      </c>
      <c r="J162">
        <f>VLOOKUP(B162,ColesStoreData!$B:$F,5,0)</f>
        <v>1900</v>
      </c>
      <c r="K162">
        <f t="shared" si="4"/>
        <v>34</v>
      </c>
      <c r="L162" s="1">
        <f t="shared" si="5"/>
        <v>0.72340425531914898</v>
      </c>
    </row>
    <row r="163" spans="1:12" x14ac:dyDescent="0.2">
      <c r="A163">
        <v>181</v>
      </c>
      <c r="B163" t="s">
        <v>514</v>
      </c>
      <c r="C163">
        <v>38</v>
      </c>
      <c r="D163">
        <v>33</v>
      </c>
      <c r="E163">
        <v>10</v>
      </c>
      <c r="F163" t="s">
        <v>703</v>
      </c>
      <c r="G163" t="s">
        <v>700</v>
      </c>
      <c r="H163" t="str">
        <f>VLOOKUP(B163,ColesStoreData!$B:$F,2,0)</f>
        <v>QLD</v>
      </c>
      <c r="I163">
        <f>VLOOKUP(B163,ColesStoreData!$B:$F,3,0)</f>
        <v>7677</v>
      </c>
      <c r="J163">
        <f>VLOOKUP(B163,ColesStoreData!$B:$F,5,0)</f>
        <v>1700</v>
      </c>
      <c r="K163">
        <f t="shared" si="4"/>
        <v>23</v>
      </c>
      <c r="L163" s="1">
        <f t="shared" si="5"/>
        <v>0.69696969696969702</v>
      </c>
    </row>
    <row r="164" spans="1:12" x14ac:dyDescent="0.2">
      <c r="A164">
        <v>182</v>
      </c>
      <c r="B164" t="s">
        <v>513</v>
      </c>
      <c r="C164">
        <v>33</v>
      </c>
      <c r="D164">
        <v>53</v>
      </c>
      <c r="E164">
        <v>13</v>
      </c>
      <c r="F164" t="s">
        <v>703</v>
      </c>
      <c r="G164" t="s">
        <v>702</v>
      </c>
      <c r="H164" t="str">
        <f>VLOOKUP(B164,ColesStoreData!$B:$F,2,0)</f>
        <v>VIC</v>
      </c>
      <c r="I164">
        <f>VLOOKUP(B164,ColesStoreData!$B:$F,3,0)</f>
        <v>7106</v>
      </c>
      <c r="J164">
        <f>VLOOKUP(B164,ColesStoreData!$B:$F,5,0)</f>
        <v>1900</v>
      </c>
      <c r="K164">
        <f t="shared" si="4"/>
        <v>40</v>
      </c>
      <c r="L164" s="1">
        <f t="shared" si="5"/>
        <v>0.75471698113207553</v>
      </c>
    </row>
    <row r="165" spans="1:12" x14ac:dyDescent="0.2">
      <c r="A165">
        <v>183</v>
      </c>
      <c r="B165" t="s">
        <v>512</v>
      </c>
      <c r="C165">
        <v>39</v>
      </c>
      <c r="D165">
        <v>47</v>
      </c>
      <c r="E165">
        <v>13</v>
      </c>
      <c r="F165" t="s">
        <v>701</v>
      </c>
      <c r="G165" t="s">
        <v>700</v>
      </c>
      <c r="H165" t="str">
        <f>VLOOKUP(B165,ColesStoreData!$B:$F,2,0)</f>
        <v>QLD</v>
      </c>
      <c r="I165">
        <f>VLOOKUP(B165,ColesStoreData!$B:$F,3,0)</f>
        <v>7527</v>
      </c>
      <c r="J165">
        <f>VLOOKUP(B165,ColesStoreData!$B:$F,5,0)</f>
        <v>1900</v>
      </c>
      <c r="K165">
        <f t="shared" si="4"/>
        <v>34</v>
      </c>
      <c r="L165" s="1">
        <f t="shared" si="5"/>
        <v>0.72340425531914898</v>
      </c>
    </row>
    <row r="166" spans="1:12" x14ac:dyDescent="0.2">
      <c r="A166">
        <v>184</v>
      </c>
      <c r="B166" t="s">
        <v>511</v>
      </c>
      <c r="C166">
        <v>41</v>
      </c>
      <c r="D166">
        <v>54</v>
      </c>
      <c r="E166">
        <v>11</v>
      </c>
      <c r="F166" t="s">
        <v>701</v>
      </c>
      <c r="G166" t="s">
        <v>702</v>
      </c>
      <c r="H166" t="str">
        <f>VLOOKUP(B166,ColesStoreData!$B:$F,2,0)</f>
        <v>QLD</v>
      </c>
      <c r="I166">
        <f>VLOOKUP(B166,ColesStoreData!$B:$F,3,0)</f>
        <v>58920</v>
      </c>
      <c r="J166">
        <f>VLOOKUP(B166,ColesStoreData!$B:$F,5,0)</f>
        <v>2500</v>
      </c>
      <c r="K166">
        <f t="shared" si="4"/>
        <v>43</v>
      </c>
      <c r="L166" s="1">
        <f t="shared" si="5"/>
        <v>0.79629629629629628</v>
      </c>
    </row>
    <row r="167" spans="1:12" x14ac:dyDescent="0.2">
      <c r="A167">
        <v>185</v>
      </c>
      <c r="B167" t="s">
        <v>510</v>
      </c>
      <c r="C167">
        <v>45</v>
      </c>
      <c r="D167">
        <v>54</v>
      </c>
      <c r="E167">
        <v>17</v>
      </c>
      <c r="F167" t="s">
        <v>703</v>
      </c>
      <c r="G167" t="s">
        <v>700</v>
      </c>
      <c r="H167" t="str">
        <f>VLOOKUP(B167,ColesStoreData!$B:$F,2,0)</f>
        <v>WA</v>
      </c>
      <c r="I167">
        <f>VLOOKUP(B167,ColesStoreData!$B:$F,3,0)</f>
        <v>9567</v>
      </c>
      <c r="J167">
        <f>VLOOKUP(B167,ColesStoreData!$B:$F,5,0)</f>
        <v>2500</v>
      </c>
      <c r="K167">
        <f t="shared" si="4"/>
        <v>37</v>
      </c>
      <c r="L167" s="1">
        <f t="shared" si="5"/>
        <v>0.68518518518518523</v>
      </c>
    </row>
    <row r="168" spans="1:12" x14ac:dyDescent="0.2">
      <c r="A168">
        <v>186</v>
      </c>
      <c r="B168" t="s">
        <v>509</v>
      </c>
      <c r="C168">
        <v>28</v>
      </c>
      <c r="D168">
        <v>58</v>
      </c>
      <c r="E168">
        <v>12</v>
      </c>
      <c r="F168" t="s">
        <v>703</v>
      </c>
      <c r="G168" t="s">
        <v>702</v>
      </c>
      <c r="H168" t="str">
        <f>VLOOKUP(B168,ColesStoreData!$B:$F,2,0)</f>
        <v>NSW</v>
      </c>
      <c r="I168">
        <f>VLOOKUP(B168,ColesStoreData!$B:$F,3,0)</f>
        <v>35672</v>
      </c>
      <c r="J168">
        <f>VLOOKUP(B168,ColesStoreData!$B:$F,5,0)</f>
        <v>2700</v>
      </c>
      <c r="K168">
        <f t="shared" si="4"/>
        <v>46</v>
      </c>
      <c r="L168" s="1">
        <f t="shared" si="5"/>
        <v>0.7931034482758621</v>
      </c>
    </row>
    <row r="169" spans="1:12" x14ac:dyDescent="0.2">
      <c r="A169">
        <v>187</v>
      </c>
      <c r="B169" t="s">
        <v>508</v>
      </c>
      <c r="C169">
        <v>43</v>
      </c>
      <c r="D169">
        <v>47</v>
      </c>
      <c r="E169">
        <v>16</v>
      </c>
      <c r="F169" t="s">
        <v>703</v>
      </c>
      <c r="G169" t="s">
        <v>700</v>
      </c>
      <c r="H169" t="str">
        <f>VLOOKUP(B169,ColesStoreData!$B:$F,2,0)</f>
        <v>QLD</v>
      </c>
      <c r="I169">
        <f>VLOOKUP(B169,ColesStoreData!$B:$F,3,0)</f>
        <v>6708</v>
      </c>
      <c r="J169">
        <f>VLOOKUP(B169,ColesStoreData!$B:$F,5,0)</f>
        <v>1900</v>
      </c>
      <c r="K169">
        <f t="shared" si="4"/>
        <v>31</v>
      </c>
      <c r="L169" s="1">
        <f t="shared" si="5"/>
        <v>0.65957446808510634</v>
      </c>
    </row>
    <row r="170" spans="1:12" x14ac:dyDescent="0.2">
      <c r="A170">
        <v>188</v>
      </c>
      <c r="B170" t="s">
        <v>507</v>
      </c>
      <c r="C170">
        <v>23</v>
      </c>
      <c r="D170">
        <v>51</v>
      </c>
      <c r="E170">
        <v>6</v>
      </c>
      <c r="F170" t="s">
        <v>701</v>
      </c>
      <c r="G170" t="s">
        <v>702</v>
      </c>
      <c r="H170" t="str">
        <f>VLOOKUP(B170,ColesStoreData!$B:$F,2,0)</f>
        <v>NSW</v>
      </c>
      <c r="I170">
        <f>VLOOKUP(B170,ColesStoreData!$B:$F,3,0)</f>
        <v>9510</v>
      </c>
      <c r="J170">
        <f>VLOOKUP(B170,ColesStoreData!$B:$F,5,0)</f>
        <v>1900</v>
      </c>
      <c r="K170">
        <f t="shared" si="4"/>
        <v>45</v>
      </c>
      <c r="L170" s="1">
        <f t="shared" si="5"/>
        <v>0.88235294117647056</v>
      </c>
    </row>
    <row r="171" spans="1:12" x14ac:dyDescent="0.2">
      <c r="A171">
        <v>189</v>
      </c>
      <c r="B171" t="s">
        <v>506</v>
      </c>
      <c r="C171">
        <v>23</v>
      </c>
      <c r="D171">
        <v>42</v>
      </c>
      <c r="E171">
        <v>13</v>
      </c>
      <c r="F171" t="s">
        <v>701</v>
      </c>
      <c r="G171" t="s">
        <v>702</v>
      </c>
      <c r="H171" t="str">
        <f>VLOOKUP(B171,ColesStoreData!$B:$F,2,0)</f>
        <v>NSW</v>
      </c>
      <c r="I171">
        <f>VLOOKUP(B171,ColesStoreData!$B:$F,3,0)</f>
        <v>9864</v>
      </c>
      <c r="J171">
        <f>VLOOKUP(B171,ColesStoreData!$B:$F,5,0)</f>
        <v>1700</v>
      </c>
      <c r="K171">
        <f t="shared" si="4"/>
        <v>29</v>
      </c>
      <c r="L171" s="1">
        <f t="shared" si="5"/>
        <v>0.69047619047619047</v>
      </c>
    </row>
    <row r="172" spans="1:12" x14ac:dyDescent="0.2">
      <c r="A172">
        <v>190</v>
      </c>
      <c r="B172" t="s">
        <v>505</v>
      </c>
      <c r="C172">
        <v>45</v>
      </c>
      <c r="D172">
        <v>54</v>
      </c>
      <c r="E172">
        <v>6</v>
      </c>
      <c r="F172" t="s">
        <v>701</v>
      </c>
      <c r="G172" t="s">
        <v>702</v>
      </c>
      <c r="H172" t="str">
        <f>VLOOKUP(B172,ColesStoreData!$B:$F,2,0)</f>
        <v>WA</v>
      </c>
      <c r="I172">
        <f>VLOOKUP(B172,ColesStoreData!$B:$F,3,0)</f>
        <v>13208</v>
      </c>
      <c r="J172">
        <f>VLOOKUP(B172,ColesStoreData!$B:$F,5,0)</f>
        <v>2500</v>
      </c>
      <c r="K172">
        <f t="shared" si="4"/>
        <v>48</v>
      </c>
      <c r="L172" s="1">
        <f t="shared" si="5"/>
        <v>0.88888888888888884</v>
      </c>
    </row>
    <row r="173" spans="1:12" x14ac:dyDescent="0.2">
      <c r="A173">
        <v>191</v>
      </c>
      <c r="B173" t="s">
        <v>504</v>
      </c>
      <c r="C173">
        <v>40</v>
      </c>
      <c r="D173">
        <v>39</v>
      </c>
      <c r="E173">
        <v>7</v>
      </c>
      <c r="F173" t="s">
        <v>703</v>
      </c>
      <c r="G173" t="s">
        <v>700</v>
      </c>
      <c r="H173" t="str">
        <f>VLOOKUP(B173,ColesStoreData!$B:$F,2,0)</f>
        <v>QLD</v>
      </c>
      <c r="I173">
        <f>VLOOKUP(B173,ColesStoreData!$B:$F,3,0)</f>
        <v>6088</v>
      </c>
      <c r="J173">
        <f>VLOOKUP(B173,ColesStoreData!$B:$F,5,0)</f>
        <v>1700</v>
      </c>
      <c r="K173">
        <f t="shared" si="4"/>
        <v>32</v>
      </c>
      <c r="L173" s="1">
        <f t="shared" si="5"/>
        <v>0.82051282051282048</v>
      </c>
    </row>
    <row r="174" spans="1:12" x14ac:dyDescent="0.2">
      <c r="A174">
        <v>192</v>
      </c>
      <c r="B174" t="s">
        <v>503</v>
      </c>
      <c r="C174">
        <v>45</v>
      </c>
      <c r="D174">
        <v>39</v>
      </c>
      <c r="E174">
        <v>6</v>
      </c>
      <c r="F174" t="s">
        <v>701</v>
      </c>
      <c r="G174" t="s">
        <v>700</v>
      </c>
      <c r="H174" t="str">
        <f>VLOOKUP(B174,ColesStoreData!$B:$F,2,0)</f>
        <v>WA</v>
      </c>
      <c r="I174">
        <f>VLOOKUP(B174,ColesStoreData!$B:$F,3,0)</f>
        <v>8803</v>
      </c>
      <c r="J174">
        <f>VLOOKUP(B174,ColesStoreData!$B:$F,5,0)</f>
        <v>1700</v>
      </c>
      <c r="K174">
        <f t="shared" si="4"/>
        <v>33</v>
      </c>
      <c r="L174" s="1">
        <f t="shared" si="5"/>
        <v>0.84615384615384615</v>
      </c>
    </row>
    <row r="175" spans="1:12" x14ac:dyDescent="0.2">
      <c r="A175">
        <v>193</v>
      </c>
      <c r="B175" t="s">
        <v>502</v>
      </c>
      <c r="C175">
        <v>48</v>
      </c>
      <c r="D175">
        <v>42</v>
      </c>
      <c r="E175">
        <v>15</v>
      </c>
      <c r="F175" t="s">
        <v>701</v>
      </c>
      <c r="G175" t="s">
        <v>700</v>
      </c>
      <c r="H175" t="str">
        <f>VLOOKUP(B175,ColesStoreData!$B:$F,2,0)</f>
        <v>SA</v>
      </c>
      <c r="I175">
        <f>VLOOKUP(B175,ColesStoreData!$B:$F,3,0)</f>
        <v>6532</v>
      </c>
      <c r="J175">
        <f>VLOOKUP(B175,ColesStoreData!$B:$F,5,0)</f>
        <v>1700</v>
      </c>
      <c r="K175">
        <f t="shared" si="4"/>
        <v>27</v>
      </c>
      <c r="L175" s="1">
        <f t="shared" si="5"/>
        <v>0.6428571428571429</v>
      </c>
    </row>
    <row r="176" spans="1:12" x14ac:dyDescent="0.2">
      <c r="A176">
        <v>194</v>
      </c>
      <c r="B176" t="s">
        <v>501</v>
      </c>
      <c r="C176">
        <v>27</v>
      </c>
      <c r="D176">
        <v>47</v>
      </c>
      <c r="E176">
        <v>15</v>
      </c>
      <c r="F176" t="s">
        <v>701</v>
      </c>
      <c r="G176" t="s">
        <v>702</v>
      </c>
      <c r="H176" t="str">
        <f>VLOOKUP(B176,ColesStoreData!$B:$F,2,0)</f>
        <v>NSW</v>
      </c>
      <c r="I176">
        <f>VLOOKUP(B176,ColesStoreData!$B:$F,3,0)</f>
        <v>8666</v>
      </c>
      <c r="J176">
        <f>VLOOKUP(B176,ColesStoreData!$B:$F,5,0)</f>
        <v>1900</v>
      </c>
      <c r="K176">
        <f t="shared" ref="K176:K230" si="6">D176-E176</f>
        <v>32</v>
      </c>
      <c r="L176" s="1">
        <f t="shared" si="5"/>
        <v>0.68085106382978722</v>
      </c>
    </row>
    <row r="177" spans="1:12" x14ac:dyDescent="0.2">
      <c r="A177">
        <v>195</v>
      </c>
      <c r="B177" t="s">
        <v>500</v>
      </c>
      <c r="C177">
        <v>21</v>
      </c>
      <c r="D177">
        <v>53</v>
      </c>
      <c r="E177">
        <v>12</v>
      </c>
      <c r="F177" t="s">
        <v>701</v>
      </c>
      <c r="G177" t="s">
        <v>702</v>
      </c>
      <c r="H177" t="str">
        <f>VLOOKUP(B177,ColesStoreData!$B:$F,2,0)</f>
        <v>NSW</v>
      </c>
      <c r="I177">
        <f>VLOOKUP(B177,ColesStoreData!$B:$F,3,0)</f>
        <v>8108</v>
      </c>
      <c r="J177">
        <f>VLOOKUP(B177,ColesStoreData!$B:$F,5,0)</f>
        <v>1900</v>
      </c>
      <c r="K177">
        <f t="shared" si="6"/>
        <v>41</v>
      </c>
      <c r="L177" s="1">
        <f t="shared" si="5"/>
        <v>0.77358490566037741</v>
      </c>
    </row>
    <row r="178" spans="1:12" x14ac:dyDescent="0.2">
      <c r="A178">
        <v>197</v>
      </c>
      <c r="B178" t="s">
        <v>498</v>
      </c>
      <c r="C178">
        <v>47</v>
      </c>
      <c r="D178">
        <v>41</v>
      </c>
      <c r="E178">
        <v>12</v>
      </c>
      <c r="F178" t="s">
        <v>703</v>
      </c>
      <c r="G178" t="s">
        <v>700</v>
      </c>
      <c r="H178" t="str">
        <f>VLOOKUP(B178,ColesStoreData!$B:$F,2,0)</f>
        <v>SA</v>
      </c>
      <c r="I178">
        <f>VLOOKUP(B178,ColesStoreData!$B:$F,3,0)</f>
        <v>7584</v>
      </c>
      <c r="J178">
        <f>VLOOKUP(B178,ColesStoreData!$B:$F,5,0)</f>
        <v>1700</v>
      </c>
      <c r="K178">
        <f t="shared" si="6"/>
        <v>29</v>
      </c>
      <c r="L178" s="1">
        <f t="shared" si="5"/>
        <v>0.70731707317073167</v>
      </c>
    </row>
    <row r="179" spans="1:12" x14ac:dyDescent="0.2">
      <c r="A179">
        <v>198</v>
      </c>
      <c r="B179" t="s">
        <v>497</v>
      </c>
      <c r="C179">
        <v>38</v>
      </c>
      <c r="D179">
        <v>50</v>
      </c>
      <c r="E179">
        <v>10</v>
      </c>
      <c r="F179" t="s">
        <v>701</v>
      </c>
      <c r="G179" t="s">
        <v>702</v>
      </c>
      <c r="H179" t="str">
        <f>VLOOKUP(B179,ColesStoreData!$B:$F,2,0)</f>
        <v>QLD</v>
      </c>
      <c r="I179">
        <f>VLOOKUP(B179,ColesStoreData!$B:$F,3,0)</f>
        <v>7054</v>
      </c>
      <c r="J179">
        <f>VLOOKUP(B179,ColesStoreData!$B:$F,5,0)</f>
        <v>1900</v>
      </c>
      <c r="K179">
        <f t="shared" si="6"/>
        <v>40</v>
      </c>
      <c r="L179" s="1">
        <f t="shared" si="5"/>
        <v>0.8</v>
      </c>
    </row>
    <row r="180" spans="1:12" x14ac:dyDescent="0.2">
      <c r="A180">
        <v>199</v>
      </c>
      <c r="B180" t="s">
        <v>496</v>
      </c>
      <c r="C180">
        <v>32</v>
      </c>
      <c r="D180">
        <v>33</v>
      </c>
      <c r="E180">
        <v>5</v>
      </c>
      <c r="F180" t="s">
        <v>703</v>
      </c>
      <c r="G180" t="s">
        <v>700</v>
      </c>
      <c r="H180" t="str">
        <f>VLOOKUP(B180,ColesStoreData!$B:$F,2,0)</f>
        <v>VIC</v>
      </c>
      <c r="I180">
        <f>VLOOKUP(B180,ColesStoreData!$B:$F,3,0)</f>
        <v>9193</v>
      </c>
      <c r="J180">
        <f>VLOOKUP(B180,ColesStoreData!$B:$F,5,0)</f>
        <v>1700</v>
      </c>
      <c r="K180">
        <f t="shared" si="6"/>
        <v>28</v>
      </c>
      <c r="L180" s="1">
        <f t="shared" si="5"/>
        <v>0.84848484848484851</v>
      </c>
    </row>
    <row r="181" spans="1:12" x14ac:dyDescent="0.2">
      <c r="A181">
        <v>200</v>
      </c>
      <c r="B181" t="s">
        <v>495</v>
      </c>
      <c r="C181">
        <v>40</v>
      </c>
      <c r="D181">
        <v>52</v>
      </c>
      <c r="E181">
        <v>7</v>
      </c>
      <c r="F181" t="s">
        <v>701</v>
      </c>
      <c r="G181" t="s">
        <v>702</v>
      </c>
      <c r="H181" t="str">
        <f>VLOOKUP(B181,ColesStoreData!$B:$F,2,0)</f>
        <v>QLD</v>
      </c>
      <c r="I181">
        <f>VLOOKUP(B181,ColesStoreData!$B:$F,3,0)</f>
        <v>7070</v>
      </c>
      <c r="J181">
        <f>VLOOKUP(B181,ColesStoreData!$B:$F,5,0)</f>
        <v>1900</v>
      </c>
      <c r="K181">
        <f t="shared" si="6"/>
        <v>45</v>
      </c>
      <c r="L181" s="1">
        <f t="shared" si="5"/>
        <v>0.86538461538461542</v>
      </c>
    </row>
    <row r="182" spans="1:12" x14ac:dyDescent="0.2">
      <c r="A182">
        <v>201</v>
      </c>
      <c r="B182" t="s">
        <v>494</v>
      </c>
      <c r="C182">
        <v>37</v>
      </c>
      <c r="D182">
        <v>49</v>
      </c>
      <c r="E182">
        <v>11</v>
      </c>
      <c r="F182" t="s">
        <v>703</v>
      </c>
      <c r="G182" t="s">
        <v>702</v>
      </c>
      <c r="H182" t="str">
        <f>VLOOKUP(B182,ColesStoreData!$B:$F,2,0)</f>
        <v>VIC</v>
      </c>
      <c r="I182">
        <f>VLOOKUP(B182,ColesStoreData!$B:$F,3,0)</f>
        <v>6340</v>
      </c>
      <c r="J182">
        <f>VLOOKUP(B182,ColesStoreData!$B:$F,5,0)</f>
        <v>1900</v>
      </c>
      <c r="K182">
        <f t="shared" si="6"/>
        <v>38</v>
      </c>
      <c r="L182" s="1">
        <f t="shared" si="5"/>
        <v>0.77551020408163263</v>
      </c>
    </row>
    <row r="183" spans="1:12" x14ac:dyDescent="0.2">
      <c r="A183">
        <v>202</v>
      </c>
      <c r="B183" t="s">
        <v>493</v>
      </c>
      <c r="C183">
        <v>25</v>
      </c>
      <c r="D183">
        <v>51</v>
      </c>
      <c r="E183">
        <v>13</v>
      </c>
      <c r="F183" t="s">
        <v>703</v>
      </c>
      <c r="G183" t="s">
        <v>702</v>
      </c>
      <c r="H183" t="str">
        <f>VLOOKUP(B183,ColesStoreData!$B:$F,2,0)</f>
        <v>NSW</v>
      </c>
      <c r="I183">
        <f>VLOOKUP(B183,ColesStoreData!$B:$F,3,0)</f>
        <v>8773</v>
      </c>
      <c r="J183">
        <f>VLOOKUP(B183,ColesStoreData!$B:$F,5,0)</f>
        <v>1900</v>
      </c>
      <c r="K183">
        <f t="shared" si="6"/>
        <v>38</v>
      </c>
      <c r="L183" s="1">
        <f t="shared" si="5"/>
        <v>0.74509803921568629</v>
      </c>
    </row>
    <row r="184" spans="1:12" x14ac:dyDescent="0.2">
      <c r="A184">
        <v>203</v>
      </c>
      <c r="B184" t="s">
        <v>492</v>
      </c>
      <c r="C184">
        <v>38</v>
      </c>
      <c r="D184">
        <v>36</v>
      </c>
      <c r="E184">
        <v>8</v>
      </c>
      <c r="F184" t="s">
        <v>701</v>
      </c>
      <c r="G184" t="s">
        <v>700</v>
      </c>
      <c r="H184" t="str">
        <f>VLOOKUP(B184,ColesStoreData!$B:$F,2,0)</f>
        <v>QLD</v>
      </c>
      <c r="I184">
        <f>VLOOKUP(B184,ColesStoreData!$B:$F,3,0)</f>
        <v>8839</v>
      </c>
      <c r="J184">
        <f>VLOOKUP(B184,ColesStoreData!$B:$F,5,0)</f>
        <v>1700</v>
      </c>
      <c r="K184">
        <f t="shared" si="6"/>
        <v>28</v>
      </c>
      <c r="L184" s="1">
        <f t="shared" si="5"/>
        <v>0.77777777777777779</v>
      </c>
    </row>
    <row r="185" spans="1:12" x14ac:dyDescent="0.2">
      <c r="A185">
        <v>204</v>
      </c>
      <c r="B185" t="s">
        <v>491</v>
      </c>
      <c r="C185">
        <v>43</v>
      </c>
      <c r="D185">
        <v>58</v>
      </c>
      <c r="E185">
        <v>8</v>
      </c>
      <c r="F185" t="s">
        <v>703</v>
      </c>
      <c r="G185" t="s">
        <v>702</v>
      </c>
      <c r="H185" t="str">
        <f>VLOOKUP(B185,ColesStoreData!$B:$F,2,0)</f>
        <v>QLD</v>
      </c>
      <c r="I185">
        <f>VLOOKUP(B185,ColesStoreData!$B:$F,3,0)</f>
        <v>53922</v>
      </c>
      <c r="J185">
        <f>VLOOKUP(B185,ColesStoreData!$B:$F,5,0)</f>
        <v>2700</v>
      </c>
      <c r="K185">
        <f t="shared" si="6"/>
        <v>50</v>
      </c>
      <c r="L185" s="1">
        <f t="shared" si="5"/>
        <v>0.86206896551724133</v>
      </c>
    </row>
    <row r="186" spans="1:12" x14ac:dyDescent="0.2">
      <c r="A186">
        <v>205</v>
      </c>
      <c r="B186" t="s">
        <v>490</v>
      </c>
      <c r="C186">
        <v>31</v>
      </c>
      <c r="D186">
        <v>50</v>
      </c>
      <c r="E186">
        <v>9</v>
      </c>
      <c r="F186" t="s">
        <v>703</v>
      </c>
      <c r="G186" t="s">
        <v>702</v>
      </c>
      <c r="H186" t="str">
        <f>VLOOKUP(B186,ColesStoreData!$B:$F,2,0)</f>
        <v>VIC</v>
      </c>
      <c r="I186">
        <f>VLOOKUP(B186,ColesStoreData!$B:$F,3,0)</f>
        <v>6485</v>
      </c>
      <c r="J186">
        <f>VLOOKUP(B186,ColesStoreData!$B:$F,5,0)</f>
        <v>1900</v>
      </c>
      <c r="K186">
        <f t="shared" si="6"/>
        <v>41</v>
      </c>
      <c r="L186" s="1">
        <f t="shared" si="5"/>
        <v>0.82</v>
      </c>
    </row>
    <row r="187" spans="1:12" x14ac:dyDescent="0.2">
      <c r="A187">
        <v>206</v>
      </c>
      <c r="B187" t="s">
        <v>489</v>
      </c>
      <c r="C187">
        <v>36</v>
      </c>
      <c r="D187">
        <v>50</v>
      </c>
      <c r="E187">
        <v>12</v>
      </c>
      <c r="F187" t="s">
        <v>701</v>
      </c>
      <c r="G187" t="s">
        <v>702</v>
      </c>
      <c r="H187" t="str">
        <f>VLOOKUP(B187,ColesStoreData!$B:$F,2,0)</f>
        <v>VIC</v>
      </c>
      <c r="I187">
        <f>VLOOKUP(B187,ColesStoreData!$B:$F,3,0)</f>
        <v>7597</v>
      </c>
      <c r="J187">
        <f>VLOOKUP(B187,ColesStoreData!$B:$F,5,0)</f>
        <v>1900</v>
      </c>
      <c r="K187">
        <f t="shared" si="6"/>
        <v>38</v>
      </c>
      <c r="L187" s="1">
        <f t="shared" si="5"/>
        <v>0.76</v>
      </c>
    </row>
    <row r="188" spans="1:12" x14ac:dyDescent="0.2">
      <c r="A188">
        <v>207</v>
      </c>
      <c r="B188" t="s">
        <v>488</v>
      </c>
      <c r="C188">
        <v>36</v>
      </c>
      <c r="D188">
        <v>46</v>
      </c>
      <c r="E188">
        <v>8</v>
      </c>
      <c r="F188" t="s">
        <v>701</v>
      </c>
      <c r="G188" t="s">
        <v>702</v>
      </c>
      <c r="H188" t="str">
        <f>VLOOKUP(B188,ColesStoreData!$B:$F,2,0)</f>
        <v>VIC</v>
      </c>
      <c r="I188">
        <f>VLOOKUP(B188,ColesStoreData!$B:$F,3,0)</f>
        <v>9366</v>
      </c>
      <c r="J188">
        <f>VLOOKUP(B188,ColesStoreData!$B:$F,5,0)</f>
        <v>1900</v>
      </c>
      <c r="K188">
        <f t="shared" si="6"/>
        <v>38</v>
      </c>
      <c r="L188" s="1">
        <f t="shared" si="5"/>
        <v>0.82608695652173914</v>
      </c>
    </row>
    <row r="189" spans="1:12" x14ac:dyDescent="0.2">
      <c r="A189">
        <v>208</v>
      </c>
      <c r="B189" t="s">
        <v>487</v>
      </c>
      <c r="C189">
        <v>35</v>
      </c>
      <c r="D189">
        <v>52</v>
      </c>
      <c r="E189">
        <v>15</v>
      </c>
      <c r="F189" t="s">
        <v>703</v>
      </c>
      <c r="G189" t="s">
        <v>702</v>
      </c>
      <c r="H189" t="str">
        <f>VLOOKUP(B189,ColesStoreData!$B:$F,2,0)</f>
        <v>VIC</v>
      </c>
      <c r="I189">
        <f>VLOOKUP(B189,ColesStoreData!$B:$F,3,0)</f>
        <v>9537</v>
      </c>
      <c r="J189">
        <f>VLOOKUP(B189,ColesStoreData!$B:$F,5,0)</f>
        <v>1900</v>
      </c>
      <c r="K189">
        <f t="shared" si="6"/>
        <v>37</v>
      </c>
      <c r="L189" s="1">
        <f t="shared" si="5"/>
        <v>0.71153846153846156</v>
      </c>
    </row>
    <row r="190" spans="1:12" x14ac:dyDescent="0.2">
      <c r="A190">
        <v>210</v>
      </c>
      <c r="B190" t="s">
        <v>485</v>
      </c>
      <c r="C190">
        <v>43</v>
      </c>
      <c r="D190">
        <v>28</v>
      </c>
      <c r="E190">
        <v>6</v>
      </c>
      <c r="F190" t="s">
        <v>703</v>
      </c>
      <c r="G190" t="s">
        <v>700</v>
      </c>
      <c r="H190" t="str">
        <f>VLOOKUP(B190,ColesStoreData!$B:$F,2,0)</f>
        <v>WA</v>
      </c>
      <c r="I190">
        <f>VLOOKUP(B190,ColesStoreData!$B:$F,3,0)</f>
        <v>9147</v>
      </c>
      <c r="J190">
        <f>VLOOKUP(B190,ColesStoreData!$B:$F,5,0)</f>
        <v>1700</v>
      </c>
      <c r="K190">
        <f t="shared" si="6"/>
        <v>22</v>
      </c>
      <c r="L190" s="1">
        <f t="shared" ref="L190:L252" si="7">K190/D190</f>
        <v>0.7857142857142857</v>
      </c>
    </row>
    <row r="191" spans="1:12" x14ac:dyDescent="0.2">
      <c r="A191">
        <v>211</v>
      </c>
      <c r="B191" t="s">
        <v>484</v>
      </c>
      <c r="C191">
        <v>31</v>
      </c>
      <c r="D191">
        <v>51</v>
      </c>
      <c r="E191">
        <v>7</v>
      </c>
      <c r="F191" t="s">
        <v>703</v>
      </c>
      <c r="G191" t="s">
        <v>702</v>
      </c>
      <c r="H191" t="str">
        <f>VLOOKUP(B191,ColesStoreData!$B:$F,2,0)</f>
        <v>VIC</v>
      </c>
      <c r="I191">
        <f>VLOOKUP(B191,ColesStoreData!$B:$F,3,0)</f>
        <v>8184</v>
      </c>
      <c r="J191">
        <f>VLOOKUP(B191,ColesStoreData!$B:$F,5,0)</f>
        <v>1900</v>
      </c>
      <c r="K191">
        <f t="shared" si="6"/>
        <v>44</v>
      </c>
      <c r="L191" s="1">
        <f t="shared" si="7"/>
        <v>0.86274509803921573</v>
      </c>
    </row>
    <row r="192" spans="1:12" x14ac:dyDescent="0.2">
      <c r="A192">
        <v>212</v>
      </c>
      <c r="B192" t="s">
        <v>483</v>
      </c>
      <c r="C192">
        <v>41</v>
      </c>
      <c r="D192">
        <v>36</v>
      </c>
      <c r="E192">
        <v>7</v>
      </c>
      <c r="F192" t="s">
        <v>701</v>
      </c>
      <c r="G192" t="s">
        <v>700</v>
      </c>
      <c r="H192" t="str">
        <f>VLOOKUP(B192,ColesStoreData!$B:$F,2,0)</f>
        <v>QLD</v>
      </c>
      <c r="I192">
        <f>VLOOKUP(B192,ColesStoreData!$B:$F,3,0)</f>
        <v>6470</v>
      </c>
      <c r="J192">
        <f>VLOOKUP(B192,ColesStoreData!$B:$F,5,0)</f>
        <v>1700</v>
      </c>
      <c r="K192">
        <f t="shared" si="6"/>
        <v>29</v>
      </c>
      <c r="L192" s="1">
        <f t="shared" si="7"/>
        <v>0.80555555555555558</v>
      </c>
    </row>
    <row r="193" spans="1:12" x14ac:dyDescent="0.2">
      <c r="A193">
        <v>213</v>
      </c>
      <c r="B193" t="s">
        <v>482</v>
      </c>
      <c r="C193">
        <v>45</v>
      </c>
      <c r="D193">
        <v>41</v>
      </c>
      <c r="E193">
        <v>10</v>
      </c>
      <c r="F193" t="s">
        <v>701</v>
      </c>
      <c r="G193" t="s">
        <v>700</v>
      </c>
      <c r="H193" t="str">
        <f>VLOOKUP(B193,ColesStoreData!$B:$F,2,0)</f>
        <v>WA</v>
      </c>
      <c r="I193">
        <f>VLOOKUP(B193,ColesStoreData!$B:$F,3,0)</f>
        <v>8471</v>
      </c>
      <c r="J193">
        <f>VLOOKUP(B193,ColesStoreData!$B:$F,5,0)</f>
        <v>1700</v>
      </c>
      <c r="K193">
        <f t="shared" si="6"/>
        <v>31</v>
      </c>
      <c r="L193" s="1">
        <f t="shared" si="7"/>
        <v>0.75609756097560976</v>
      </c>
    </row>
    <row r="194" spans="1:12" x14ac:dyDescent="0.2">
      <c r="A194">
        <v>215</v>
      </c>
      <c r="B194" t="s">
        <v>480</v>
      </c>
      <c r="C194">
        <v>25</v>
      </c>
      <c r="D194">
        <v>50</v>
      </c>
      <c r="E194">
        <v>16</v>
      </c>
      <c r="F194" t="s">
        <v>703</v>
      </c>
      <c r="G194" t="s">
        <v>702</v>
      </c>
      <c r="H194" t="str">
        <f>VLOOKUP(B194,ColesStoreData!$B:$F,2,0)</f>
        <v>NSW</v>
      </c>
      <c r="I194">
        <f>VLOOKUP(B194,ColesStoreData!$B:$F,3,0)</f>
        <v>6253</v>
      </c>
      <c r="J194">
        <f>VLOOKUP(B194,ColesStoreData!$B:$F,5,0)</f>
        <v>1900</v>
      </c>
      <c r="K194">
        <f t="shared" si="6"/>
        <v>34</v>
      </c>
      <c r="L194" s="1">
        <f t="shared" si="7"/>
        <v>0.68</v>
      </c>
    </row>
    <row r="195" spans="1:12" x14ac:dyDescent="0.2">
      <c r="A195">
        <v>216</v>
      </c>
      <c r="B195" t="s">
        <v>479</v>
      </c>
      <c r="C195">
        <v>47</v>
      </c>
      <c r="D195">
        <v>31</v>
      </c>
      <c r="E195">
        <v>10</v>
      </c>
      <c r="F195" t="s">
        <v>703</v>
      </c>
      <c r="G195" t="s">
        <v>700</v>
      </c>
      <c r="H195" t="str">
        <f>VLOOKUP(B195,ColesStoreData!$B:$F,2,0)</f>
        <v>SA</v>
      </c>
      <c r="I195">
        <f>VLOOKUP(B195,ColesStoreData!$B:$F,3,0)</f>
        <v>7467</v>
      </c>
      <c r="J195">
        <f>VLOOKUP(B195,ColesStoreData!$B:$F,5,0)</f>
        <v>1700</v>
      </c>
      <c r="K195">
        <f t="shared" si="6"/>
        <v>21</v>
      </c>
      <c r="L195" s="1">
        <f t="shared" si="7"/>
        <v>0.67741935483870963</v>
      </c>
    </row>
    <row r="196" spans="1:12" x14ac:dyDescent="0.2">
      <c r="A196">
        <v>217</v>
      </c>
      <c r="B196" t="s">
        <v>478</v>
      </c>
      <c r="C196">
        <v>20</v>
      </c>
      <c r="D196">
        <v>48</v>
      </c>
      <c r="E196">
        <v>5</v>
      </c>
      <c r="F196" t="s">
        <v>703</v>
      </c>
      <c r="G196" t="s">
        <v>702</v>
      </c>
      <c r="H196" t="str">
        <f>VLOOKUP(B196,ColesStoreData!$B:$F,2,0)</f>
        <v>NSW</v>
      </c>
      <c r="I196">
        <f>VLOOKUP(B196,ColesStoreData!$B:$F,3,0)</f>
        <v>9533</v>
      </c>
      <c r="J196">
        <f>VLOOKUP(B196,ColesStoreData!$B:$F,5,0)</f>
        <v>1900</v>
      </c>
      <c r="K196">
        <f t="shared" si="6"/>
        <v>43</v>
      </c>
      <c r="L196" s="1">
        <f t="shared" si="7"/>
        <v>0.89583333333333337</v>
      </c>
    </row>
    <row r="197" spans="1:12" x14ac:dyDescent="0.2">
      <c r="A197">
        <v>218</v>
      </c>
      <c r="B197" t="s">
        <v>477</v>
      </c>
      <c r="C197">
        <v>37</v>
      </c>
      <c r="D197">
        <v>46</v>
      </c>
      <c r="E197">
        <v>6</v>
      </c>
      <c r="F197" t="s">
        <v>701</v>
      </c>
      <c r="G197" t="s">
        <v>702</v>
      </c>
      <c r="H197" t="str">
        <f>VLOOKUP(B197,ColesStoreData!$B:$F,2,0)</f>
        <v>VIC</v>
      </c>
      <c r="I197">
        <f>VLOOKUP(B197,ColesStoreData!$B:$F,3,0)</f>
        <v>7077</v>
      </c>
      <c r="J197">
        <f>VLOOKUP(B197,ColesStoreData!$B:$F,5,0)</f>
        <v>1900</v>
      </c>
      <c r="K197">
        <f t="shared" si="6"/>
        <v>40</v>
      </c>
      <c r="L197" s="1">
        <f t="shared" si="7"/>
        <v>0.86956521739130432</v>
      </c>
    </row>
    <row r="198" spans="1:12" x14ac:dyDescent="0.2">
      <c r="A198">
        <v>219</v>
      </c>
      <c r="B198" t="s">
        <v>476</v>
      </c>
      <c r="C198">
        <v>44</v>
      </c>
      <c r="D198">
        <v>34</v>
      </c>
      <c r="E198">
        <v>4</v>
      </c>
      <c r="F198" t="s">
        <v>703</v>
      </c>
      <c r="G198" t="s">
        <v>700</v>
      </c>
      <c r="H198" t="str">
        <f>VLOOKUP(B198,ColesStoreData!$B:$F,2,0)</f>
        <v>WA</v>
      </c>
      <c r="I198">
        <f>VLOOKUP(B198,ColesStoreData!$B:$F,3,0)</f>
        <v>6916</v>
      </c>
      <c r="J198">
        <f>VLOOKUP(B198,ColesStoreData!$B:$F,5,0)</f>
        <v>1700</v>
      </c>
      <c r="K198">
        <f t="shared" si="6"/>
        <v>30</v>
      </c>
      <c r="L198" s="1">
        <f t="shared" si="7"/>
        <v>0.88235294117647056</v>
      </c>
    </row>
    <row r="199" spans="1:12" x14ac:dyDescent="0.2">
      <c r="A199">
        <v>220</v>
      </c>
      <c r="B199" t="s">
        <v>475</v>
      </c>
      <c r="C199">
        <v>44</v>
      </c>
      <c r="D199">
        <v>25</v>
      </c>
      <c r="E199">
        <v>11</v>
      </c>
      <c r="F199" t="s">
        <v>701</v>
      </c>
      <c r="G199" t="s">
        <v>700</v>
      </c>
      <c r="H199" t="str">
        <f>VLOOKUP(B199,ColesStoreData!$B:$F,2,0)</f>
        <v>WA</v>
      </c>
      <c r="I199">
        <f>VLOOKUP(B199,ColesStoreData!$B:$F,3,0)</f>
        <v>6236</v>
      </c>
      <c r="J199">
        <f>VLOOKUP(B199,ColesStoreData!$B:$F,5,0)</f>
        <v>1700</v>
      </c>
      <c r="K199">
        <f t="shared" si="6"/>
        <v>14</v>
      </c>
      <c r="L199" s="1">
        <f t="shared" si="7"/>
        <v>0.56000000000000005</v>
      </c>
    </row>
    <row r="200" spans="1:12" x14ac:dyDescent="0.2">
      <c r="A200">
        <v>221</v>
      </c>
      <c r="B200" t="s">
        <v>474</v>
      </c>
      <c r="C200">
        <v>27</v>
      </c>
      <c r="D200">
        <v>59</v>
      </c>
      <c r="E200">
        <v>10</v>
      </c>
      <c r="F200" t="s">
        <v>703</v>
      </c>
      <c r="G200" t="s">
        <v>702</v>
      </c>
      <c r="H200" t="str">
        <f>VLOOKUP(B200,ColesStoreData!$B:$F,2,0)</f>
        <v>NSW</v>
      </c>
      <c r="I200">
        <f>VLOOKUP(B200,ColesStoreData!$B:$F,3,0)</f>
        <v>59969</v>
      </c>
      <c r="J200">
        <f>VLOOKUP(B200,ColesStoreData!$B:$F,5,0)</f>
        <v>2700</v>
      </c>
      <c r="K200">
        <f t="shared" si="6"/>
        <v>49</v>
      </c>
      <c r="L200" s="1">
        <f t="shared" si="7"/>
        <v>0.83050847457627119</v>
      </c>
    </row>
    <row r="201" spans="1:12" x14ac:dyDescent="0.2">
      <c r="A201">
        <v>222</v>
      </c>
      <c r="B201" t="s">
        <v>473</v>
      </c>
      <c r="C201">
        <v>23</v>
      </c>
      <c r="D201">
        <v>28</v>
      </c>
      <c r="E201">
        <v>13</v>
      </c>
      <c r="F201" t="s">
        <v>703</v>
      </c>
      <c r="G201" t="s">
        <v>700</v>
      </c>
      <c r="H201" t="str">
        <f>VLOOKUP(B201,ColesStoreData!$B:$F,2,0)</f>
        <v>NSW</v>
      </c>
      <c r="I201">
        <f>VLOOKUP(B201,ColesStoreData!$B:$F,3,0)</f>
        <v>6729</v>
      </c>
      <c r="J201">
        <f>VLOOKUP(B201,ColesStoreData!$B:$F,5,0)</f>
        <v>1700</v>
      </c>
      <c r="K201">
        <f t="shared" si="6"/>
        <v>15</v>
      </c>
      <c r="L201" s="1">
        <f t="shared" si="7"/>
        <v>0.5357142857142857</v>
      </c>
    </row>
    <row r="202" spans="1:12" x14ac:dyDescent="0.2">
      <c r="A202">
        <v>223</v>
      </c>
      <c r="B202" t="s">
        <v>472</v>
      </c>
      <c r="C202">
        <v>36</v>
      </c>
      <c r="D202">
        <v>41</v>
      </c>
      <c r="E202">
        <v>11</v>
      </c>
      <c r="F202" t="s">
        <v>703</v>
      </c>
      <c r="G202" t="s">
        <v>700</v>
      </c>
      <c r="H202" t="str">
        <f>VLOOKUP(B202,ColesStoreData!$B:$F,2,0)</f>
        <v>VIC</v>
      </c>
      <c r="I202">
        <f>VLOOKUP(B202,ColesStoreData!$B:$F,3,0)</f>
        <v>7592</v>
      </c>
      <c r="J202">
        <f>VLOOKUP(B202,ColesStoreData!$B:$F,5,0)</f>
        <v>1700</v>
      </c>
      <c r="K202">
        <f t="shared" si="6"/>
        <v>30</v>
      </c>
      <c r="L202" s="1">
        <f t="shared" si="7"/>
        <v>0.73170731707317072</v>
      </c>
    </row>
    <row r="203" spans="1:12" x14ac:dyDescent="0.2">
      <c r="A203">
        <v>224</v>
      </c>
      <c r="B203" t="s">
        <v>471</v>
      </c>
      <c r="C203">
        <v>37</v>
      </c>
      <c r="D203">
        <v>47</v>
      </c>
      <c r="E203">
        <v>11</v>
      </c>
      <c r="F203" t="s">
        <v>703</v>
      </c>
      <c r="G203" t="s">
        <v>700</v>
      </c>
      <c r="H203" t="str">
        <f>VLOOKUP(B203,ColesStoreData!$B:$F,2,0)</f>
        <v>QLD</v>
      </c>
      <c r="I203">
        <f>VLOOKUP(B203,ColesStoreData!$B:$F,3,0)</f>
        <v>9692</v>
      </c>
      <c r="J203">
        <f>VLOOKUP(B203,ColesStoreData!$B:$F,5,0)</f>
        <v>1900</v>
      </c>
      <c r="K203">
        <f t="shared" si="6"/>
        <v>36</v>
      </c>
      <c r="L203" s="1">
        <f t="shared" si="7"/>
        <v>0.76595744680851063</v>
      </c>
    </row>
    <row r="204" spans="1:12" x14ac:dyDescent="0.2">
      <c r="A204">
        <v>225</v>
      </c>
      <c r="B204" t="s">
        <v>470</v>
      </c>
      <c r="C204">
        <v>28</v>
      </c>
      <c r="D204">
        <v>39</v>
      </c>
      <c r="E204">
        <v>10</v>
      </c>
      <c r="F204" t="s">
        <v>703</v>
      </c>
      <c r="G204" t="s">
        <v>702</v>
      </c>
      <c r="H204" t="str">
        <f>VLOOKUP(B204,ColesStoreData!$B:$F,2,0)</f>
        <v>NSW</v>
      </c>
      <c r="I204">
        <f>VLOOKUP(B204,ColesStoreData!$B:$F,3,0)</f>
        <v>7478</v>
      </c>
      <c r="J204">
        <f>VLOOKUP(B204,ColesStoreData!$B:$F,5,0)</f>
        <v>1700</v>
      </c>
      <c r="K204">
        <f t="shared" si="6"/>
        <v>29</v>
      </c>
      <c r="L204" s="1">
        <f t="shared" si="7"/>
        <v>0.74358974358974361</v>
      </c>
    </row>
    <row r="205" spans="1:12" x14ac:dyDescent="0.2">
      <c r="A205">
        <v>226</v>
      </c>
      <c r="B205" t="s">
        <v>469</v>
      </c>
      <c r="C205">
        <v>46</v>
      </c>
      <c r="D205">
        <v>42</v>
      </c>
      <c r="E205">
        <v>6</v>
      </c>
      <c r="F205" t="s">
        <v>703</v>
      </c>
      <c r="G205" t="s">
        <v>700</v>
      </c>
      <c r="H205" t="str">
        <f>VLOOKUP(B205,ColesStoreData!$B:$F,2,0)</f>
        <v>WA</v>
      </c>
      <c r="I205">
        <f>VLOOKUP(B205,ColesStoreData!$B:$F,3,0)</f>
        <v>8760</v>
      </c>
      <c r="J205">
        <f>VLOOKUP(B205,ColesStoreData!$B:$F,5,0)</f>
        <v>1700</v>
      </c>
      <c r="K205">
        <f t="shared" si="6"/>
        <v>36</v>
      </c>
      <c r="L205" s="1">
        <f t="shared" si="7"/>
        <v>0.8571428571428571</v>
      </c>
    </row>
    <row r="206" spans="1:12" x14ac:dyDescent="0.2">
      <c r="A206">
        <v>227</v>
      </c>
      <c r="B206" t="s">
        <v>468</v>
      </c>
      <c r="C206">
        <v>40</v>
      </c>
      <c r="D206">
        <v>58</v>
      </c>
      <c r="E206">
        <v>2</v>
      </c>
      <c r="F206" t="s">
        <v>701</v>
      </c>
      <c r="G206" t="s">
        <v>702</v>
      </c>
      <c r="H206" t="str">
        <f>VLOOKUP(B206,ColesStoreData!$B:$F,2,0)</f>
        <v>QLD</v>
      </c>
      <c r="I206">
        <f>VLOOKUP(B206,ColesStoreData!$B:$F,3,0)</f>
        <v>30045</v>
      </c>
      <c r="J206">
        <f>VLOOKUP(B206,ColesStoreData!$B:$F,5,0)</f>
        <v>2700</v>
      </c>
      <c r="K206">
        <f t="shared" si="6"/>
        <v>56</v>
      </c>
      <c r="L206" s="1">
        <f t="shared" si="7"/>
        <v>0.96551724137931039</v>
      </c>
    </row>
    <row r="207" spans="1:12" x14ac:dyDescent="0.2">
      <c r="A207">
        <v>230</v>
      </c>
      <c r="B207" t="s">
        <v>465</v>
      </c>
      <c r="C207">
        <v>41</v>
      </c>
      <c r="D207">
        <v>54</v>
      </c>
      <c r="E207">
        <v>10</v>
      </c>
      <c r="F207" t="s">
        <v>703</v>
      </c>
      <c r="G207" t="s">
        <v>702</v>
      </c>
      <c r="H207" t="str">
        <f>VLOOKUP(B207,ColesStoreData!$B:$F,2,0)</f>
        <v>QLD</v>
      </c>
      <c r="I207">
        <f>VLOOKUP(B207,ColesStoreData!$B:$F,3,0)</f>
        <v>41158</v>
      </c>
      <c r="J207">
        <f>VLOOKUP(B207,ColesStoreData!$B:$F,5,0)</f>
        <v>2500</v>
      </c>
      <c r="K207">
        <f t="shared" si="6"/>
        <v>44</v>
      </c>
      <c r="L207" s="1">
        <f t="shared" si="7"/>
        <v>0.81481481481481477</v>
      </c>
    </row>
    <row r="208" spans="1:12" x14ac:dyDescent="0.2">
      <c r="A208">
        <v>231</v>
      </c>
      <c r="B208" t="s">
        <v>464</v>
      </c>
      <c r="C208">
        <v>21</v>
      </c>
      <c r="D208">
        <v>41</v>
      </c>
      <c r="E208">
        <v>14</v>
      </c>
      <c r="F208" t="s">
        <v>701</v>
      </c>
      <c r="G208" t="s">
        <v>702</v>
      </c>
      <c r="H208" t="str">
        <f>VLOOKUP(B208,ColesStoreData!$B:$F,2,0)</f>
        <v>NSW</v>
      </c>
      <c r="I208">
        <f>VLOOKUP(B208,ColesStoreData!$B:$F,3,0)</f>
        <v>7725</v>
      </c>
      <c r="J208">
        <f>VLOOKUP(B208,ColesStoreData!$B:$F,5,0)</f>
        <v>1700</v>
      </c>
      <c r="K208">
        <f t="shared" si="6"/>
        <v>27</v>
      </c>
      <c r="L208" s="1">
        <f t="shared" si="7"/>
        <v>0.65853658536585369</v>
      </c>
    </row>
    <row r="209" spans="1:12" x14ac:dyDescent="0.2">
      <c r="A209">
        <v>232</v>
      </c>
      <c r="B209" t="s">
        <v>463</v>
      </c>
      <c r="C209">
        <v>25</v>
      </c>
      <c r="D209">
        <v>54</v>
      </c>
      <c r="E209">
        <v>7</v>
      </c>
      <c r="F209" t="s">
        <v>701</v>
      </c>
      <c r="G209" t="s">
        <v>702</v>
      </c>
      <c r="H209" t="str">
        <f>VLOOKUP(B209,ColesStoreData!$B:$F,2,0)</f>
        <v>NSW</v>
      </c>
      <c r="I209">
        <f>VLOOKUP(B209,ColesStoreData!$B:$F,3,0)</f>
        <v>50685</v>
      </c>
      <c r="J209">
        <f>VLOOKUP(B209,ColesStoreData!$B:$F,5,0)</f>
        <v>2500</v>
      </c>
      <c r="K209">
        <f t="shared" si="6"/>
        <v>47</v>
      </c>
      <c r="L209" s="1">
        <f t="shared" si="7"/>
        <v>0.87037037037037035</v>
      </c>
    </row>
    <row r="210" spans="1:12" x14ac:dyDescent="0.2">
      <c r="A210">
        <v>233</v>
      </c>
      <c r="B210" t="s">
        <v>462</v>
      </c>
      <c r="C210">
        <v>49</v>
      </c>
      <c r="D210">
        <v>55</v>
      </c>
      <c r="E210">
        <v>12</v>
      </c>
      <c r="F210" t="s">
        <v>703</v>
      </c>
      <c r="G210" t="s">
        <v>700</v>
      </c>
      <c r="H210" t="str">
        <f>VLOOKUP(B210,ColesStoreData!$B:$F,2,0)</f>
        <v>ACT</v>
      </c>
      <c r="I210">
        <f>VLOOKUP(B210,ColesStoreData!$B:$F,3,0)</f>
        <v>37203</v>
      </c>
      <c r="J210">
        <f>VLOOKUP(B210,ColesStoreData!$B:$F,5,0)</f>
        <v>2500</v>
      </c>
      <c r="K210">
        <f t="shared" si="6"/>
        <v>43</v>
      </c>
      <c r="L210" s="1">
        <f t="shared" si="7"/>
        <v>0.78181818181818186</v>
      </c>
    </row>
    <row r="211" spans="1:12" x14ac:dyDescent="0.2">
      <c r="A211">
        <v>234</v>
      </c>
      <c r="B211" t="s">
        <v>461</v>
      </c>
      <c r="C211">
        <v>28</v>
      </c>
      <c r="D211">
        <v>58</v>
      </c>
      <c r="E211">
        <v>7</v>
      </c>
      <c r="F211" t="s">
        <v>703</v>
      </c>
      <c r="G211" t="s">
        <v>702</v>
      </c>
      <c r="H211" t="str">
        <f>VLOOKUP(B211,ColesStoreData!$B:$F,2,0)</f>
        <v>NSW</v>
      </c>
      <c r="I211">
        <f>VLOOKUP(B211,ColesStoreData!$B:$F,3,0)</f>
        <v>39895</v>
      </c>
      <c r="J211">
        <f>VLOOKUP(B211,ColesStoreData!$B:$F,5,0)</f>
        <v>2700</v>
      </c>
      <c r="K211">
        <f t="shared" si="6"/>
        <v>51</v>
      </c>
      <c r="L211" s="1">
        <f t="shared" si="7"/>
        <v>0.87931034482758619</v>
      </c>
    </row>
    <row r="212" spans="1:12" x14ac:dyDescent="0.2">
      <c r="A212">
        <v>235</v>
      </c>
      <c r="B212" t="s">
        <v>460</v>
      </c>
      <c r="C212">
        <v>44</v>
      </c>
      <c r="D212">
        <v>50</v>
      </c>
      <c r="E212">
        <v>9</v>
      </c>
      <c r="F212" t="s">
        <v>703</v>
      </c>
      <c r="G212" t="s">
        <v>700</v>
      </c>
      <c r="H212" t="str">
        <f>VLOOKUP(B212,ColesStoreData!$B:$F,2,0)</f>
        <v>WA</v>
      </c>
      <c r="I212">
        <f>VLOOKUP(B212,ColesStoreData!$B:$F,3,0)</f>
        <v>8184</v>
      </c>
      <c r="J212">
        <f>VLOOKUP(B212,ColesStoreData!$B:$F,5,0)</f>
        <v>1900</v>
      </c>
      <c r="K212">
        <f t="shared" si="6"/>
        <v>41</v>
      </c>
      <c r="L212" s="1">
        <f t="shared" si="7"/>
        <v>0.82</v>
      </c>
    </row>
    <row r="213" spans="1:12" x14ac:dyDescent="0.2">
      <c r="A213">
        <v>236</v>
      </c>
      <c r="B213" t="s">
        <v>459</v>
      </c>
      <c r="C213">
        <v>31</v>
      </c>
      <c r="D213">
        <v>57</v>
      </c>
      <c r="E213">
        <v>11</v>
      </c>
      <c r="F213" t="s">
        <v>703</v>
      </c>
      <c r="G213" t="s">
        <v>702</v>
      </c>
      <c r="H213" t="str">
        <f>VLOOKUP(B213,ColesStoreData!$B:$F,2,0)</f>
        <v>VIC</v>
      </c>
      <c r="I213">
        <f>VLOOKUP(B213,ColesStoreData!$B:$F,3,0)</f>
        <v>47067</v>
      </c>
      <c r="J213">
        <f>VLOOKUP(B213,ColesStoreData!$B:$F,5,0)</f>
        <v>2500</v>
      </c>
      <c r="K213">
        <f t="shared" si="6"/>
        <v>46</v>
      </c>
      <c r="L213" s="1">
        <f t="shared" si="7"/>
        <v>0.80701754385964908</v>
      </c>
    </row>
    <row r="214" spans="1:12" x14ac:dyDescent="0.2">
      <c r="A214">
        <v>237</v>
      </c>
      <c r="B214" t="s">
        <v>458</v>
      </c>
      <c r="C214">
        <v>28</v>
      </c>
      <c r="D214">
        <v>57</v>
      </c>
      <c r="E214">
        <v>12</v>
      </c>
      <c r="F214" t="s">
        <v>701</v>
      </c>
      <c r="G214" t="s">
        <v>702</v>
      </c>
      <c r="H214" t="str">
        <f>VLOOKUP(B214,ColesStoreData!$B:$F,2,0)</f>
        <v>NSW</v>
      </c>
      <c r="I214">
        <f>VLOOKUP(B214,ColesStoreData!$B:$F,3,0)</f>
        <v>26646</v>
      </c>
      <c r="J214">
        <f>VLOOKUP(B214,ColesStoreData!$B:$F,5,0)</f>
        <v>2500</v>
      </c>
      <c r="K214">
        <f t="shared" si="6"/>
        <v>45</v>
      </c>
      <c r="L214" s="1">
        <f t="shared" si="7"/>
        <v>0.78947368421052633</v>
      </c>
    </row>
    <row r="215" spans="1:12" x14ac:dyDescent="0.2">
      <c r="A215">
        <v>238</v>
      </c>
      <c r="B215" t="s">
        <v>457</v>
      </c>
      <c r="C215">
        <v>32</v>
      </c>
      <c r="D215">
        <v>58</v>
      </c>
      <c r="E215">
        <v>9</v>
      </c>
      <c r="F215" t="s">
        <v>703</v>
      </c>
      <c r="G215" t="s">
        <v>702</v>
      </c>
      <c r="H215" t="str">
        <f>VLOOKUP(B215,ColesStoreData!$B:$F,2,0)</f>
        <v>VIC</v>
      </c>
      <c r="I215">
        <f>VLOOKUP(B215,ColesStoreData!$B:$F,3,0)</f>
        <v>18146</v>
      </c>
      <c r="J215">
        <f>VLOOKUP(B215,ColesStoreData!$B:$F,5,0)</f>
        <v>2700</v>
      </c>
      <c r="K215">
        <f t="shared" si="6"/>
        <v>49</v>
      </c>
      <c r="L215" s="1">
        <f t="shared" si="7"/>
        <v>0.84482758620689657</v>
      </c>
    </row>
    <row r="216" spans="1:12" x14ac:dyDescent="0.2">
      <c r="A216">
        <v>239</v>
      </c>
      <c r="B216" t="s">
        <v>456</v>
      </c>
      <c r="C216">
        <v>31</v>
      </c>
      <c r="D216">
        <v>38</v>
      </c>
      <c r="E216">
        <v>12</v>
      </c>
      <c r="F216" t="s">
        <v>701</v>
      </c>
      <c r="G216" t="s">
        <v>700</v>
      </c>
      <c r="H216" t="str">
        <f>VLOOKUP(B216,ColesStoreData!$B:$F,2,0)</f>
        <v>VIC</v>
      </c>
      <c r="I216">
        <f>VLOOKUP(B216,ColesStoreData!$B:$F,3,0)</f>
        <v>6164</v>
      </c>
      <c r="J216">
        <f>VLOOKUP(B216,ColesStoreData!$B:$F,5,0)</f>
        <v>1700</v>
      </c>
      <c r="K216">
        <f t="shared" si="6"/>
        <v>26</v>
      </c>
      <c r="L216" s="1">
        <f t="shared" si="7"/>
        <v>0.68421052631578949</v>
      </c>
    </row>
    <row r="217" spans="1:12" x14ac:dyDescent="0.2">
      <c r="A217">
        <v>240</v>
      </c>
      <c r="B217" t="s">
        <v>455</v>
      </c>
      <c r="C217">
        <v>48</v>
      </c>
      <c r="D217">
        <v>51</v>
      </c>
      <c r="E217">
        <v>8</v>
      </c>
      <c r="F217" t="s">
        <v>703</v>
      </c>
      <c r="G217" t="s">
        <v>700</v>
      </c>
      <c r="H217" t="str">
        <f>VLOOKUP(B217,ColesStoreData!$B:$F,2,0)</f>
        <v>SA</v>
      </c>
      <c r="I217">
        <f>VLOOKUP(B217,ColesStoreData!$B:$F,3,0)</f>
        <v>6606</v>
      </c>
      <c r="J217">
        <f>VLOOKUP(B217,ColesStoreData!$B:$F,5,0)</f>
        <v>1900</v>
      </c>
      <c r="K217">
        <f t="shared" si="6"/>
        <v>43</v>
      </c>
      <c r="L217" s="1">
        <f t="shared" si="7"/>
        <v>0.84313725490196079</v>
      </c>
    </row>
    <row r="218" spans="1:12" x14ac:dyDescent="0.2">
      <c r="A218">
        <v>241</v>
      </c>
      <c r="B218" t="s">
        <v>454</v>
      </c>
      <c r="C218">
        <v>50</v>
      </c>
      <c r="D218">
        <v>48</v>
      </c>
      <c r="E218">
        <v>10</v>
      </c>
      <c r="F218" t="s">
        <v>701</v>
      </c>
      <c r="G218" t="s">
        <v>700</v>
      </c>
      <c r="H218" t="str">
        <f>VLOOKUP(B218,ColesStoreData!$B:$F,2,0)</f>
        <v>NT</v>
      </c>
      <c r="I218">
        <f>VLOOKUP(B218,ColesStoreData!$B:$F,3,0)</f>
        <v>6094</v>
      </c>
      <c r="J218">
        <f>VLOOKUP(B218,ColesStoreData!$B:$F,5,0)</f>
        <v>1900</v>
      </c>
      <c r="K218">
        <f t="shared" si="6"/>
        <v>38</v>
      </c>
      <c r="L218" s="1">
        <f t="shared" si="7"/>
        <v>0.79166666666666663</v>
      </c>
    </row>
    <row r="219" spans="1:12" x14ac:dyDescent="0.2">
      <c r="A219">
        <v>242</v>
      </c>
      <c r="B219" t="s">
        <v>453</v>
      </c>
      <c r="C219">
        <v>34</v>
      </c>
      <c r="D219">
        <v>45</v>
      </c>
      <c r="E219">
        <v>10</v>
      </c>
      <c r="F219" t="s">
        <v>703</v>
      </c>
      <c r="G219" t="s">
        <v>702</v>
      </c>
      <c r="H219" t="str">
        <f>VLOOKUP(B219,ColesStoreData!$B:$F,2,0)</f>
        <v>VIC</v>
      </c>
      <c r="I219">
        <f>VLOOKUP(B219,ColesStoreData!$B:$F,3,0)</f>
        <v>6360</v>
      </c>
      <c r="J219">
        <f>VLOOKUP(B219,ColesStoreData!$B:$F,5,0)</f>
        <v>1900</v>
      </c>
      <c r="K219">
        <f t="shared" si="6"/>
        <v>35</v>
      </c>
      <c r="L219" s="1">
        <f t="shared" si="7"/>
        <v>0.77777777777777779</v>
      </c>
    </row>
    <row r="220" spans="1:12" x14ac:dyDescent="0.2">
      <c r="A220">
        <v>243</v>
      </c>
      <c r="B220" t="s">
        <v>452</v>
      </c>
      <c r="C220">
        <v>29</v>
      </c>
      <c r="D220">
        <v>27</v>
      </c>
      <c r="E220">
        <v>8</v>
      </c>
      <c r="F220" t="s">
        <v>701</v>
      </c>
      <c r="G220" t="s">
        <v>700</v>
      </c>
      <c r="H220" t="str">
        <f>VLOOKUP(B220,ColesStoreData!$B:$F,2,0)</f>
        <v>VIC</v>
      </c>
      <c r="I220">
        <f>VLOOKUP(B220,ColesStoreData!$B:$F,3,0)</f>
        <v>7981</v>
      </c>
      <c r="J220">
        <f>VLOOKUP(B220,ColesStoreData!$B:$F,5,0)</f>
        <v>1700</v>
      </c>
      <c r="K220">
        <f t="shared" si="6"/>
        <v>19</v>
      </c>
      <c r="L220" s="1">
        <f t="shared" si="7"/>
        <v>0.70370370370370372</v>
      </c>
    </row>
    <row r="221" spans="1:12" x14ac:dyDescent="0.2">
      <c r="A221">
        <v>244</v>
      </c>
      <c r="B221" t="s">
        <v>451</v>
      </c>
      <c r="C221">
        <v>40</v>
      </c>
      <c r="D221">
        <v>53</v>
      </c>
      <c r="E221">
        <v>5</v>
      </c>
      <c r="F221" t="s">
        <v>701</v>
      </c>
      <c r="G221" t="s">
        <v>702</v>
      </c>
      <c r="H221" t="str">
        <f>VLOOKUP(B221,ColesStoreData!$B:$F,2,0)</f>
        <v>QLD</v>
      </c>
      <c r="I221">
        <f>VLOOKUP(B221,ColesStoreData!$B:$F,3,0)</f>
        <v>6532</v>
      </c>
      <c r="J221">
        <f>VLOOKUP(B221,ColesStoreData!$B:$F,5,0)</f>
        <v>1900</v>
      </c>
      <c r="K221">
        <f t="shared" si="6"/>
        <v>48</v>
      </c>
      <c r="L221" s="1">
        <f t="shared" si="7"/>
        <v>0.90566037735849059</v>
      </c>
    </row>
    <row r="222" spans="1:12" x14ac:dyDescent="0.2">
      <c r="A222">
        <v>245</v>
      </c>
      <c r="B222" t="s">
        <v>450</v>
      </c>
      <c r="C222">
        <v>47</v>
      </c>
      <c r="D222">
        <v>55</v>
      </c>
      <c r="E222">
        <v>15</v>
      </c>
      <c r="F222" t="s">
        <v>701</v>
      </c>
      <c r="G222" t="s">
        <v>700</v>
      </c>
      <c r="H222" t="str">
        <f>VLOOKUP(B222,ColesStoreData!$B:$F,2,0)</f>
        <v>SA</v>
      </c>
      <c r="I222">
        <f>VLOOKUP(B222,ColesStoreData!$B:$F,3,0)</f>
        <v>57538</v>
      </c>
      <c r="J222">
        <f>VLOOKUP(B222,ColesStoreData!$B:$F,5,0)</f>
        <v>2500</v>
      </c>
      <c r="K222">
        <f t="shared" si="6"/>
        <v>40</v>
      </c>
      <c r="L222" s="1">
        <f t="shared" si="7"/>
        <v>0.72727272727272729</v>
      </c>
    </row>
    <row r="223" spans="1:12" x14ac:dyDescent="0.2">
      <c r="A223">
        <v>247</v>
      </c>
      <c r="B223" t="s">
        <v>448</v>
      </c>
      <c r="C223">
        <v>34</v>
      </c>
      <c r="D223">
        <v>38</v>
      </c>
      <c r="E223">
        <v>6</v>
      </c>
      <c r="F223" t="s">
        <v>701</v>
      </c>
      <c r="G223" t="s">
        <v>700</v>
      </c>
      <c r="H223" t="str">
        <f>VLOOKUP(B223,ColesStoreData!$B:$F,2,0)</f>
        <v>VIC</v>
      </c>
      <c r="I223">
        <f>VLOOKUP(B223,ColesStoreData!$B:$F,3,0)</f>
        <v>7443</v>
      </c>
      <c r="J223">
        <f>VLOOKUP(B223,ColesStoreData!$B:$F,5,0)</f>
        <v>1700</v>
      </c>
      <c r="K223">
        <f t="shared" si="6"/>
        <v>32</v>
      </c>
      <c r="L223" s="1">
        <f t="shared" si="7"/>
        <v>0.84210526315789469</v>
      </c>
    </row>
    <row r="224" spans="1:12" x14ac:dyDescent="0.2">
      <c r="A224">
        <v>248</v>
      </c>
      <c r="B224" t="s">
        <v>447</v>
      </c>
      <c r="C224">
        <v>33</v>
      </c>
      <c r="D224">
        <v>40</v>
      </c>
      <c r="E224">
        <v>9</v>
      </c>
      <c r="F224" t="s">
        <v>703</v>
      </c>
      <c r="G224" t="s">
        <v>700</v>
      </c>
      <c r="H224" t="str">
        <f>VLOOKUP(B224,ColesStoreData!$B:$F,2,0)</f>
        <v>VIC</v>
      </c>
      <c r="I224">
        <f>VLOOKUP(B224,ColesStoreData!$B:$F,3,0)</f>
        <v>9127</v>
      </c>
      <c r="J224">
        <f>VLOOKUP(B224,ColesStoreData!$B:$F,5,0)</f>
        <v>1700</v>
      </c>
      <c r="K224">
        <f t="shared" si="6"/>
        <v>31</v>
      </c>
      <c r="L224" s="1">
        <f t="shared" si="7"/>
        <v>0.77500000000000002</v>
      </c>
    </row>
    <row r="225" spans="1:12" x14ac:dyDescent="0.2">
      <c r="A225">
        <v>249</v>
      </c>
      <c r="B225" t="s">
        <v>446</v>
      </c>
      <c r="C225">
        <v>38</v>
      </c>
      <c r="D225">
        <v>26</v>
      </c>
      <c r="E225">
        <v>11</v>
      </c>
      <c r="F225" t="s">
        <v>701</v>
      </c>
      <c r="G225" t="s">
        <v>700</v>
      </c>
      <c r="H225" t="str">
        <f>VLOOKUP(B225,ColesStoreData!$B:$F,2,0)</f>
        <v>QLD</v>
      </c>
      <c r="I225">
        <f>VLOOKUP(B225,ColesStoreData!$B:$F,3,0)</f>
        <v>6673</v>
      </c>
      <c r="J225">
        <f>VLOOKUP(B225,ColesStoreData!$B:$F,5,0)</f>
        <v>1700</v>
      </c>
      <c r="K225">
        <f t="shared" si="6"/>
        <v>15</v>
      </c>
      <c r="L225" s="1">
        <f t="shared" si="7"/>
        <v>0.57692307692307687</v>
      </c>
    </row>
    <row r="226" spans="1:12" x14ac:dyDescent="0.2">
      <c r="A226">
        <v>250</v>
      </c>
      <c r="B226" t="s">
        <v>445</v>
      </c>
      <c r="C226">
        <v>30</v>
      </c>
      <c r="D226">
        <v>29</v>
      </c>
      <c r="E226">
        <v>11</v>
      </c>
      <c r="F226" t="s">
        <v>701</v>
      </c>
      <c r="G226" t="s">
        <v>700</v>
      </c>
      <c r="H226" t="str">
        <f>VLOOKUP(B226,ColesStoreData!$B:$F,2,0)</f>
        <v>VIC</v>
      </c>
      <c r="I226">
        <f>VLOOKUP(B226,ColesStoreData!$B:$F,3,0)</f>
        <v>6505</v>
      </c>
      <c r="J226">
        <f>VLOOKUP(B226,ColesStoreData!$B:$F,5,0)</f>
        <v>1700</v>
      </c>
      <c r="K226">
        <f t="shared" si="6"/>
        <v>18</v>
      </c>
      <c r="L226" s="1">
        <f t="shared" si="7"/>
        <v>0.62068965517241381</v>
      </c>
    </row>
    <row r="227" spans="1:12" x14ac:dyDescent="0.2">
      <c r="A227">
        <v>252</v>
      </c>
      <c r="B227" t="s">
        <v>443</v>
      </c>
      <c r="C227">
        <v>22</v>
      </c>
      <c r="D227">
        <v>29</v>
      </c>
      <c r="E227">
        <v>13</v>
      </c>
      <c r="F227" t="s">
        <v>701</v>
      </c>
      <c r="G227" t="s">
        <v>700</v>
      </c>
      <c r="H227" t="str">
        <f>VLOOKUP(B227,ColesStoreData!$B:$F,2,0)</f>
        <v>NSW</v>
      </c>
      <c r="I227">
        <f>VLOOKUP(B227,ColesStoreData!$B:$F,3,0)</f>
        <v>7321</v>
      </c>
      <c r="J227">
        <f>VLOOKUP(B227,ColesStoreData!$B:$F,5,0)</f>
        <v>1700</v>
      </c>
      <c r="K227">
        <f t="shared" si="6"/>
        <v>16</v>
      </c>
      <c r="L227" s="1">
        <f t="shared" si="7"/>
        <v>0.55172413793103448</v>
      </c>
    </row>
    <row r="228" spans="1:12" x14ac:dyDescent="0.2">
      <c r="A228">
        <v>253</v>
      </c>
      <c r="B228" t="s">
        <v>442</v>
      </c>
      <c r="C228">
        <v>26</v>
      </c>
      <c r="D228">
        <v>40</v>
      </c>
      <c r="E228">
        <v>9</v>
      </c>
      <c r="F228" t="s">
        <v>701</v>
      </c>
      <c r="G228" t="s">
        <v>702</v>
      </c>
      <c r="H228" t="str">
        <f>VLOOKUP(B228,ColesStoreData!$B:$F,2,0)</f>
        <v>NSW</v>
      </c>
      <c r="I228">
        <f>VLOOKUP(B228,ColesStoreData!$B:$F,3,0)</f>
        <v>7857</v>
      </c>
      <c r="J228">
        <f>VLOOKUP(B228,ColesStoreData!$B:$F,5,0)</f>
        <v>1700</v>
      </c>
      <c r="K228">
        <f t="shared" si="6"/>
        <v>31</v>
      </c>
      <c r="L228" s="1">
        <f t="shared" si="7"/>
        <v>0.77500000000000002</v>
      </c>
    </row>
    <row r="229" spans="1:12" x14ac:dyDescent="0.2">
      <c r="A229">
        <v>255</v>
      </c>
      <c r="B229" t="s">
        <v>440</v>
      </c>
      <c r="C229">
        <v>40</v>
      </c>
      <c r="D229">
        <v>41</v>
      </c>
      <c r="E229">
        <v>11</v>
      </c>
      <c r="F229" t="s">
        <v>703</v>
      </c>
      <c r="G229" t="s">
        <v>700</v>
      </c>
      <c r="H229" t="str">
        <f>VLOOKUP(B229,ColesStoreData!$B:$F,2,0)</f>
        <v>QLD</v>
      </c>
      <c r="I229">
        <f>VLOOKUP(B229,ColesStoreData!$B:$F,3,0)</f>
        <v>8961</v>
      </c>
      <c r="J229">
        <f>VLOOKUP(B229,ColesStoreData!$B:$F,5,0)</f>
        <v>1700</v>
      </c>
      <c r="K229">
        <f t="shared" si="6"/>
        <v>30</v>
      </c>
      <c r="L229" s="1">
        <f t="shared" si="7"/>
        <v>0.73170731707317072</v>
      </c>
    </row>
    <row r="230" spans="1:12" x14ac:dyDescent="0.2">
      <c r="A230">
        <v>257</v>
      </c>
      <c r="B230" t="s">
        <v>438</v>
      </c>
      <c r="C230">
        <v>35</v>
      </c>
      <c r="D230">
        <v>31</v>
      </c>
      <c r="E230">
        <v>8</v>
      </c>
      <c r="F230" t="s">
        <v>703</v>
      </c>
      <c r="G230" t="s">
        <v>700</v>
      </c>
      <c r="H230" t="str">
        <f>VLOOKUP(B230,ColesStoreData!$B:$F,2,0)</f>
        <v>VIC</v>
      </c>
      <c r="I230">
        <f>VLOOKUP(B230,ColesStoreData!$B:$F,3,0)</f>
        <v>6335</v>
      </c>
      <c r="J230">
        <f>VLOOKUP(B230,ColesStoreData!$B:$F,5,0)</f>
        <v>1700</v>
      </c>
      <c r="K230">
        <f t="shared" si="6"/>
        <v>23</v>
      </c>
      <c r="L230" s="1">
        <f t="shared" si="7"/>
        <v>0.74193548387096775</v>
      </c>
    </row>
    <row r="231" spans="1:12" x14ac:dyDescent="0.2">
      <c r="A231">
        <v>258</v>
      </c>
      <c r="B231" t="s">
        <v>437</v>
      </c>
      <c r="C231">
        <v>30</v>
      </c>
      <c r="D231">
        <v>52</v>
      </c>
      <c r="E231">
        <v>13</v>
      </c>
      <c r="F231" t="s">
        <v>701</v>
      </c>
      <c r="G231" t="s">
        <v>702</v>
      </c>
      <c r="H231" t="str">
        <f>VLOOKUP(B231,ColesStoreData!$B:$F,2,0)</f>
        <v>VIC</v>
      </c>
      <c r="I231">
        <f>VLOOKUP(B231,ColesStoreData!$B:$F,3,0)</f>
        <v>8220</v>
      </c>
      <c r="J231">
        <f>VLOOKUP(B231,ColesStoreData!$B:$F,5,0)</f>
        <v>1900</v>
      </c>
      <c r="K231">
        <f t="shared" ref="K231:K287" si="8">D231-E231</f>
        <v>39</v>
      </c>
      <c r="L231" s="1">
        <f t="shared" si="7"/>
        <v>0.75</v>
      </c>
    </row>
    <row r="232" spans="1:12" x14ac:dyDescent="0.2">
      <c r="A232">
        <v>259</v>
      </c>
      <c r="B232" t="s">
        <v>436</v>
      </c>
      <c r="C232">
        <v>45</v>
      </c>
      <c r="D232">
        <v>54</v>
      </c>
      <c r="E232">
        <v>8</v>
      </c>
      <c r="F232" t="s">
        <v>701</v>
      </c>
      <c r="G232" t="s">
        <v>702</v>
      </c>
      <c r="H232" t="str">
        <f>VLOOKUP(B232,ColesStoreData!$B:$F,2,0)</f>
        <v>WA</v>
      </c>
      <c r="I232">
        <f>VLOOKUP(B232,ColesStoreData!$B:$F,3,0)</f>
        <v>31793</v>
      </c>
      <c r="J232">
        <f>VLOOKUP(B232,ColesStoreData!$B:$F,5,0)</f>
        <v>2500</v>
      </c>
      <c r="K232">
        <f t="shared" si="8"/>
        <v>46</v>
      </c>
      <c r="L232" s="1">
        <f t="shared" si="7"/>
        <v>0.85185185185185186</v>
      </c>
    </row>
    <row r="233" spans="1:12" x14ac:dyDescent="0.2">
      <c r="A233">
        <v>260</v>
      </c>
      <c r="B233" t="s">
        <v>435</v>
      </c>
      <c r="C233">
        <v>45</v>
      </c>
      <c r="D233">
        <v>54</v>
      </c>
      <c r="E233">
        <v>7</v>
      </c>
      <c r="F233" t="s">
        <v>701</v>
      </c>
      <c r="G233" t="s">
        <v>702</v>
      </c>
      <c r="H233" t="str">
        <f>VLOOKUP(B233,ColesStoreData!$B:$F,2,0)</f>
        <v>WA</v>
      </c>
      <c r="I233">
        <f>VLOOKUP(B233,ColesStoreData!$B:$F,3,0)</f>
        <v>13032</v>
      </c>
      <c r="J233">
        <f>VLOOKUP(B233,ColesStoreData!$B:$F,5,0)</f>
        <v>2500</v>
      </c>
      <c r="K233">
        <f t="shared" si="8"/>
        <v>47</v>
      </c>
      <c r="L233" s="1">
        <f t="shared" si="7"/>
        <v>0.87037037037037035</v>
      </c>
    </row>
    <row r="234" spans="1:12" x14ac:dyDescent="0.2">
      <c r="A234">
        <v>261</v>
      </c>
      <c r="B234" t="s">
        <v>434</v>
      </c>
      <c r="C234">
        <v>29</v>
      </c>
      <c r="D234">
        <v>53</v>
      </c>
      <c r="E234">
        <v>9</v>
      </c>
      <c r="F234" t="s">
        <v>701</v>
      </c>
      <c r="G234" t="s">
        <v>702</v>
      </c>
      <c r="H234" t="str">
        <f>VLOOKUP(B234,ColesStoreData!$B:$F,2,0)</f>
        <v>NSW</v>
      </c>
      <c r="I234">
        <f>VLOOKUP(B234,ColesStoreData!$B:$F,3,0)</f>
        <v>7278</v>
      </c>
      <c r="J234">
        <f>VLOOKUP(B234,ColesStoreData!$B:$F,5,0)</f>
        <v>1900</v>
      </c>
      <c r="K234">
        <f t="shared" si="8"/>
        <v>44</v>
      </c>
      <c r="L234" s="1">
        <f t="shared" si="7"/>
        <v>0.83018867924528306</v>
      </c>
    </row>
    <row r="235" spans="1:12" x14ac:dyDescent="0.2">
      <c r="A235">
        <v>263</v>
      </c>
      <c r="B235" t="s">
        <v>432</v>
      </c>
      <c r="C235">
        <v>30</v>
      </c>
      <c r="D235">
        <v>55</v>
      </c>
      <c r="E235">
        <v>10</v>
      </c>
      <c r="F235" t="s">
        <v>701</v>
      </c>
      <c r="G235" t="s">
        <v>702</v>
      </c>
      <c r="H235" t="str">
        <f>VLOOKUP(B235,ColesStoreData!$B:$F,2,0)</f>
        <v>VIC</v>
      </c>
      <c r="I235">
        <f>VLOOKUP(B235,ColesStoreData!$B:$F,3,0)</f>
        <v>48287</v>
      </c>
      <c r="J235">
        <f>VLOOKUP(B235,ColesStoreData!$B:$F,5,0)</f>
        <v>2500</v>
      </c>
      <c r="K235">
        <f t="shared" si="8"/>
        <v>45</v>
      </c>
      <c r="L235" s="1">
        <f t="shared" si="7"/>
        <v>0.81818181818181823</v>
      </c>
    </row>
    <row r="236" spans="1:12" x14ac:dyDescent="0.2">
      <c r="A236">
        <v>264</v>
      </c>
      <c r="B236" t="s">
        <v>431</v>
      </c>
      <c r="C236">
        <v>46</v>
      </c>
      <c r="D236">
        <v>26</v>
      </c>
      <c r="E236">
        <v>10</v>
      </c>
      <c r="F236" t="s">
        <v>703</v>
      </c>
      <c r="G236" t="s">
        <v>700</v>
      </c>
      <c r="H236" t="str">
        <f>VLOOKUP(B236,ColesStoreData!$B:$F,2,0)</f>
        <v>WA</v>
      </c>
      <c r="I236">
        <f>VLOOKUP(B236,ColesStoreData!$B:$F,3,0)</f>
        <v>6915</v>
      </c>
      <c r="J236">
        <f>VLOOKUP(B236,ColesStoreData!$B:$F,5,0)</f>
        <v>1700</v>
      </c>
      <c r="K236">
        <f t="shared" si="8"/>
        <v>16</v>
      </c>
      <c r="L236" s="1">
        <f t="shared" si="7"/>
        <v>0.61538461538461542</v>
      </c>
    </row>
    <row r="237" spans="1:12" x14ac:dyDescent="0.2">
      <c r="A237">
        <v>265</v>
      </c>
      <c r="B237" t="s">
        <v>430</v>
      </c>
      <c r="C237">
        <v>39</v>
      </c>
      <c r="D237">
        <v>44</v>
      </c>
      <c r="E237">
        <v>5</v>
      </c>
      <c r="F237" t="s">
        <v>703</v>
      </c>
      <c r="G237" t="s">
        <v>702</v>
      </c>
      <c r="H237" t="str">
        <f>VLOOKUP(B237,ColesStoreData!$B:$F,2,0)</f>
        <v>QLD</v>
      </c>
      <c r="I237">
        <f>VLOOKUP(B237,ColesStoreData!$B:$F,3,0)</f>
        <v>6972</v>
      </c>
      <c r="J237">
        <f>VLOOKUP(B237,ColesStoreData!$B:$F,5,0)</f>
        <v>1700</v>
      </c>
      <c r="K237">
        <f t="shared" si="8"/>
        <v>39</v>
      </c>
      <c r="L237" s="1">
        <f t="shared" si="7"/>
        <v>0.88636363636363635</v>
      </c>
    </row>
    <row r="238" spans="1:12" x14ac:dyDescent="0.2">
      <c r="A238">
        <v>266</v>
      </c>
      <c r="B238" t="s">
        <v>429</v>
      </c>
      <c r="C238">
        <v>50</v>
      </c>
      <c r="D238">
        <v>48</v>
      </c>
      <c r="E238">
        <v>10</v>
      </c>
      <c r="F238" t="s">
        <v>703</v>
      </c>
      <c r="G238" t="s">
        <v>700</v>
      </c>
      <c r="H238" t="str">
        <f>VLOOKUP(B238,ColesStoreData!$B:$F,2,0)</f>
        <v>NT</v>
      </c>
      <c r="I238">
        <f>VLOOKUP(B238,ColesStoreData!$B:$F,3,0)</f>
        <v>9217</v>
      </c>
      <c r="J238">
        <f>VLOOKUP(B238,ColesStoreData!$B:$F,5,0)</f>
        <v>1900</v>
      </c>
      <c r="K238">
        <f t="shared" si="8"/>
        <v>38</v>
      </c>
      <c r="L238" s="1">
        <f t="shared" si="7"/>
        <v>0.79166666666666663</v>
      </c>
    </row>
    <row r="239" spans="1:12" x14ac:dyDescent="0.2">
      <c r="A239">
        <v>267</v>
      </c>
      <c r="B239" t="s">
        <v>428</v>
      </c>
      <c r="C239">
        <v>22</v>
      </c>
      <c r="D239">
        <v>25</v>
      </c>
      <c r="E239">
        <v>14</v>
      </c>
      <c r="F239" t="s">
        <v>703</v>
      </c>
      <c r="G239" t="s">
        <v>700</v>
      </c>
      <c r="H239" t="str">
        <f>VLOOKUP(B239,ColesStoreData!$B:$F,2,0)</f>
        <v>NSW</v>
      </c>
      <c r="I239">
        <f>VLOOKUP(B239,ColesStoreData!$B:$F,3,0)</f>
        <v>9881</v>
      </c>
      <c r="J239">
        <f>VLOOKUP(B239,ColesStoreData!$B:$F,5,0)</f>
        <v>1700</v>
      </c>
      <c r="K239">
        <f t="shared" si="8"/>
        <v>11</v>
      </c>
      <c r="L239" s="1">
        <f t="shared" si="7"/>
        <v>0.44</v>
      </c>
    </row>
    <row r="240" spans="1:12" x14ac:dyDescent="0.2">
      <c r="A240">
        <v>268</v>
      </c>
      <c r="B240" t="s">
        <v>427</v>
      </c>
      <c r="C240">
        <v>24</v>
      </c>
      <c r="D240">
        <v>32</v>
      </c>
      <c r="E240">
        <v>9</v>
      </c>
      <c r="F240" t="s">
        <v>703</v>
      </c>
      <c r="G240" t="s">
        <v>700</v>
      </c>
      <c r="H240" t="str">
        <f>VLOOKUP(B240,ColesStoreData!$B:$F,2,0)</f>
        <v>NSW</v>
      </c>
      <c r="I240">
        <f>VLOOKUP(B240,ColesStoreData!$B:$F,3,0)</f>
        <v>8620</v>
      </c>
      <c r="J240">
        <f>VLOOKUP(B240,ColesStoreData!$B:$F,5,0)</f>
        <v>1700</v>
      </c>
      <c r="K240">
        <f t="shared" si="8"/>
        <v>23</v>
      </c>
      <c r="L240" s="1">
        <f t="shared" si="7"/>
        <v>0.71875</v>
      </c>
    </row>
    <row r="241" spans="1:12" x14ac:dyDescent="0.2">
      <c r="A241">
        <v>269</v>
      </c>
      <c r="B241" t="s">
        <v>426</v>
      </c>
      <c r="C241">
        <v>20</v>
      </c>
      <c r="D241">
        <v>25</v>
      </c>
      <c r="E241">
        <v>8</v>
      </c>
      <c r="F241" t="s">
        <v>701</v>
      </c>
      <c r="G241" t="s">
        <v>700</v>
      </c>
      <c r="H241" t="str">
        <f>VLOOKUP(B241,ColesStoreData!$B:$F,2,0)</f>
        <v>NSW</v>
      </c>
      <c r="I241">
        <f>VLOOKUP(B241,ColesStoreData!$B:$F,3,0)</f>
        <v>7402</v>
      </c>
      <c r="J241">
        <f>VLOOKUP(B241,ColesStoreData!$B:$F,5,0)</f>
        <v>1700</v>
      </c>
      <c r="K241">
        <f t="shared" si="8"/>
        <v>17</v>
      </c>
      <c r="L241" s="1">
        <f t="shared" si="7"/>
        <v>0.68</v>
      </c>
    </row>
    <row r="242" spans="1:12" x14ac:dyDescent="0.2">
      <c r="A242">
        <v>270</v>
      </c>
      <c r="B242" t="s">
        <v>425</v>
      </c>
      <c r="C242">
        <v>33</v>
      </c>
      <c r="D242">
        <v>53</v>
      </c>
      <c r="E242">
        <v>14</v>
      </c>
      <c r="F242" t="s">
        <v>703</v>
      </c>
      <c r="G242" t="s">
        <v>702</v>
      </c>
      <c r="H242" t="str">
        <f>VLOOKUP(B242,ColesStoreData!$B:$F,2,0)</f>
        <v>VIC</v>
      </c>
      <c r="I242">
        <f>VLOOKUP(B242,ColesStoreData!$B:$F,3,0)</f>
        <v>7725</v>
      </c>
      <c r="J242">
        <f>VLOOKUP(B242,ColesStoreData!$B:$F,5,0)</f>
        <v>1900</v>
      </c>
      <c r="K242">
        <f t="shared" si="8"/>
        <v>39</v>
      </c>
      <c r="L242" s="1">
        <f t="shared" si="7"/>
        <v>0.73584905660377353</v>
      </c>
    </row>
    <row r="243" spans="1:12" x14ac:dyDescent="0.2">
      <c r="A243">
        <v>271</v>
      </c>
      <c r="B243" t="s">
        <v>424</v>
      </c>
      <c r="C243">
        <v>25</v>
      </c>
      <c r="D243">
        <v>42</v>
      </c>
      <c r="E243">
        <v>6</v>
      </c>
      <c r="F243" t="s">
        <v>703</v>
      </c>
      <c r="G243" t="s">
        <v>702</v>
      </c>
      <c r="H243" t="str">
        <f>VLOOKUP(B243,ColesStoreData!$B:$F,2,0)</f>
        <v>NSW</v>
      </c>
      <c r="I243">
        <f>VLOOKUP(B243,ColesStoreData!$B:$F,3,0)</f>
        <v>6241</v>
      </c>
      <c r="J243">
        <f>VLOOKUP(B243,ColesStoreData!$B:$F,5,0)</f>
        <v>1700</v>
      </c>
      <c r="K243">
        <f t="shared" si="8"/>
        <v>36</v>
      </c>
      <c r="L243" s="1">
        <f t="shared" si="7"/>
        <v>0.8571428571428571</v>
      </c>
    </row>
    <row r="244" spans="1:12" x14ac:dyDescent="0.2">
      <c r="A244">
        <v>272</v>
      </c>
      <c r="B244" t="s">
        <v>423</v>
      </c>
      <c r="C244">
        <v>21</v>
      </c>
      <c r="D244">
        <v>39</v>
      </c>
      <c r="E244">
        <v>9</v>
      </c>
      <c r="F244" t="s">
        <v>703</v>
      </c>
      <c r="G244" t="s">
        <v>702</v>
      </c>
      <c r="H244" t="str">
        <f>VLOOKUP(B244,ColesStoreData!$B:$F,2,0)</f>
        <v>NSW</v>
      </c>
      <c r="I244">
        <f>VLOOKUP(B244,ColesStoreData!$B:$F,3,0)</f>
        <v>7493</v>
      </c>
      <c r="J244">
        <f>VLOOKUP(B244,ColesStoreData!$B:$F,5,0)</f>
        <v>1700</v>
      </c>
      <c r="K244">
        <f t="shared" si="8"/>
        <v>30</v>
      </c>
      <c r="L244" s="1">
        <f t="shared" si="7"/>
        <v>0.76923076923076927</v>
      </c>
    </row>
    <row r="245" spans="1:12" x14ac:dyDescent="0.2">
      <c r="A245">
        <v>273</v>
      </c>
      <c r="B245" t="s">
        <v>422</v>
      </c>
      <c r="C245">
        <v>23</v>
      </c>
      <c r="D245">
        <v>59</v>
      </c>
      <c r="E245">
        <v>13</v>
      </c>
      <c r="F245" t="s">
        <v>701</v>
      </c>
      <c r="G245" t="s">
        <v>702</v>
      </c>
      <c r="H245" t="str">
        <f>VLOOKUP(B245,ColesStoreData!$B:$F,2,0)</f>
        <v>NSW</v>
      </c>
      <c r="I245">
        <f>VLOOKUP(B245,ColesStoreData!$B:$F,3,0)</f>
        <v>34201</v>
      </c>
      <c r="J245">
        <f>VLOOKUP(B245,ColesStoreData!$B:$F,5,0)</f>
        <v>2700</v>
      </c>
      <c r="K245">
        <f t="shared" si="8"/>
        <v>46</v>
      </c>
      <c r="L245" s="1">
        <f t="shared" si="7"/>
        <v>0.77966101694915257</v>
      </c>
    </row>
    <row r="246" spans="1:12" x14ac:dyDescent="0.2">
      <c r="A246">
        <v>274</v>
      </c>
      <c r="B246" t="s">
        <v>421</v>
      </c>
      <c r="C246">
        <v>49</v>
      </c>
      <c r="D246">
        <v>59</v>
      </c>
      <c r="E246">
        <v>10</v>
      </c>
      <c r="F246" t="s">
        <v>701</v>
      </c>
      <c r="G246" t="s">
        <v>702</v>
      </c>
      <c r="H246" t="str">
        <f>VLOOKUP(B246,ColesStoreData!$B:$F,2,0)</f>
        <v>ACT</v>
      </c>
      <c r="I246">
        <f>VLOOKUP(B246,ColesStoreData!$B:$F,3,0)</f>
        <v>13449</v>
      </c>
      <c r="J246">
        <f>VLOOKUP(B246,ColesStoreData!$B:$F,5,0)</f>
        <v>2700</v>
      </c>
      <c r="K246">
        <f t="shared" si="8"/>
        <v>49</v>
      </c>
      <c r="L246" s="1">
        <f t="shared" si="7"/>
        <v>0.83050847457627119</v>
      </c>
    </row>
    <row r="247" spans="1:12" x14ac:dyDescent="0.2">
      <c r="A247">
        <v>275</v>
      </c>
      <c r="B247" t="s">
        <v>420</v>
      </c>
      <c r="C247">
        <v>35</v>
      </c>
      <c r="D247">
        <v>27</v>
      </c>
      <c r="E247">
        <v>7</v>
      </c>
      <c r="F247" t="s">
        <v>701</v>
      </c>
      <c r="G247" t="s">
        <v>700</v>
      </c>
      <c r="H247" t="str">
        <f>VLOOKUP(B247,ColesStoreData!$B:$F,2,0)</f>
        <v>VIC</v>
      </c>
      <c r="I247">
        <f>VLOOKUP(B247,ColesStoreData!$B:$F,3,0)</f>
        <v>9782</v>
      </c>
      <c r="J247">
        <f>VLOOKUP(B247,ColesStoreData!$B:$F,5,0)</f>
        <v>1700</v>
      </c>
      <c r="K247">
        <f t="shared" si="8"/>
        <v>20</v>
      </c>
      <c r="L247" s="1">
        <f t="shared" si="7"/>
        <v>0.7407407407407407</v>
      </c>
    </row>
    <row r="248" spans="1:12" x14ac:dyDescent="0.2">
      <c r="A248">
        <v>276</v>
      </c>
      <c r="B248" t="s">
        <v>419</v>
      </c>
      <c r="C248">
        <v>34</v>
      </c>
      <c r="D248">
        <v>54</v>
      </c>
      <c r="E248">
        <v>11</v>
      </c>
      <c r="F248" t="s">
        <v>701</v>
      </c>
      <c r="G248" t="s">
        <v>702</v>
      </c>
      <c r="H248" t="str">
        <f>VLOOKUP(B248,ColesStoreData!$B:$F,2,0)</f>
        <v>VIC</v>
      </c>
      <c r="I248">
        <f>VLOOKUP(B248,ColesStoreData!$B:$F,3,0)</f>
        <v>24928</v>
      </c>
      <c r="J248">
        <f>VLOOKUP(B248,ColesStoreData!$B:$F,5,0)</f>
        <v>2500</v>
      </c>
      <c r="K248">
        <f t="shared" si="8"/>
        <v>43</v>
      </c>
      <c r="L248" s="1">
        <f t="shared" si="7"/>
        <v>0.79629629629629628</v>
      </c>
    </row>
    <row r="249" spans="1:12" x14ac:dyDescent="0.2">
      <c r="A249">
        <v>278</v>
      </c>
      <c r="B249" t="s">
        <v>417</v>
      </c>
      <c r="C249">
        <v>47</v>
      </c>
      <c r="D249">
        <v>37</v>
      </c>
      <c r="E249">
        <v>14</v>
      </c>
      <c r="F249" t="s">
        <v>703</v>
      </c>
      <c r="G249" t="s">
        <v>700</v>
      </c>
      <c r="H249" t="str">
        <f>VLOOKUP(B249,ColesStoreData!$B:$F,2,0)</f>
        <v>WA</v>
      </c>
      <c r="I249">
        <f>VLOOKUP(B249,ColesStoreData!$B:$F,3,0)</f>
        <v>9763</v>
      </c>
      <c r="J249">
        <f>VLOOKUP(B249,ColesStoreData!$B:$F,5,0)</f>
        <v>1700</v>
      </c>
      <c r="K249">
        <f t="shared" si="8"/>
        <v>23</v>
      </c>
      <c r="L249" s="1">
        <f t="shared" si="7"/>
        <v>0.6216216216216216</v>
      </c>
    </row>
    <row r="250" spans="1:12" x14ac:dyDescent="0.2">
      <c r="A250">
        <v>279</v>
      </c>
      <c r="B250" t="s">
        <v>416</v>
      </c>
      <c r="C250">
        <v>25</v>
      </c>
      <c r="D250">
        <v>30</v>
      </c>
      <c r="E250">
        <v>16</v>
      </c>
      <c r="F250" t="s">
        <v>701</v>
      </c>
      <c r="G250" t="s">
        <v>700</v>
      </c>
      <c r="H250" t="str">
        <f>VLOOKUP(B250,ColesStoreData!$B:$F,2,0)</f>
        <v>NSW</v>
      </c>
      <c r="I250">
        <f>VLOOKUP(B250,ColesStoreData!$B:$F,3,0)</f>
        <v>8898</v>
      </c>
      <c r="J250">
        <f>VLOOKUP(B250,ColesStoreData!$B:$F,5,0)</f>
        <v>1700</v>
      </c>
      <c r="K250">
        <f t="shared" si="8"/>
        <v>14</v>
      </c>
      <c r="L250" s="1">
        <f t="shared" si="7"/>
        <v>0.46666666666666667</v>
      </c>
    </row>
    <row r="251" spans="1:12" x14ac:dyDescent="0.2">
      <c r="A251">
        <v>280</v>
      </c>
      <c r="B251" t="s">
        <v>415</v>
      </c>
      <c r="C251">
        <v>41</v>
      </c>
      <c r="D251">
        <v>46</v>
      </c>
      <c r="E251">
        <v>12</v>
      </c>
      <c r="F251" t="s">
        <v>703</v>
      </c>
      <c r="G251" t="s">
        <v>700</v>
      </c>
      <c r="H251" t="str">
        <f>VLOOKUP(B251,ColesStoreData!$B:$F,2,0)</f>
        <v>QLD</v>
      </c>
      <c r="I251">
        <f>VLOOKUP(B251,ColesStoreData!$B:$F,3,0)</f>
        <v>7137</v>
      </c>
      <c r="J251">
        <f>VLOOKUP(B251,ColesStoreData!$B:$F,5,0)</f>
        <v>1900</v>
      </c>
      <c r="K251">
        <f t="shared" si="8"/>
        <v>34</v>
      </c>
      <c r="L251" s="1">
        <f t="shared" si="7"/>
        <v>0.73913043478260865</v>
      </c>
    </row>
    <row r="252" spans="1:12" x14ac:dyDescent="0.2">
      <c r="A252">
        <v>281</v>
      </c>
      <c r="B252" t="s">
        <v>414</v>
      </c>
      <c r="C252">
        <v>21</v>
      </c>
      <c r="D252">
        <v>54</v>
      </c>
      <c r="E252">
        <v>15</v>
      </c>
      <c r="F252" t="s">
        <v>703</v>
      </c>
      <c r="G252" t="s">
        <v>702</v>
      </c>
      <c r="H252" t="str">
        <f>VLOOKUP(B252,ColesStoreData!$B:$F,2,0)</f>
        <v>NSW</v>
      </c>
      <c r="I252">
        <f>VLOOKUP(B252,ColesStoreData!$B:$F,3,0)</f>
        <v>44797</v>
      </c>
      <c r="J252">
        <f>VLOOKUP(B252,ColesStoreData!$B:$F,5,0)</f>
        <v>2500</v>
      </c>
      <c r="K252">
        <f t="shared" si="8"/>
        <v>39</v>
      </c>
      <c r="L252" s="1">
        <f t="shared" si="7"/>
        <v>0.72222222222222221</v>
      </c>
    </row>
    <row r="253" spans="1:12" x14ac:dyDescent="0.2">
      <c r="A253">
        <v>282</v>
      </c>
      <c r="B253" t="s">
        <v>413</v>
      </c>
      <c r="C253">
        <v>31</v>
      </c>
      <c r="D253">
        <v>56</v>
      </c>
      <c r="E253">
        <v>10</v>
      </c>
      <c r="F253" t="s">
        <v>703</v>
      </c>
      <c r="G253" t="s">
        <v>702</v>
      </c>
      <c r="H253" t="str">
        <f>VLOOKUP(B253,ColesStoreData!$B:$F,2,0)</f>
        <v>VIC</v>
      </c>
      <c r="I253">
        <f>VLOOKUP(B253,ColesStoreData!$B:$F,3,0)</f>
        <v>48772</v>
      </c>
      <c r="J253">
        <f>VLOOKUP(B253,ColesStoreData!$B:$F,5,0)</f>
        <v>2500</v>
      </c>
      <c r="K253">
        <f t="shared" si="8"/>
        <v>46</v>
      </c>
      <c r="L253" s="1">
        <f t="shared" ref="L253:L315" si="9">K253/D253</f>
        <v>0.8214285714285714</v>
      </c>
    </row>
    <row r="254" spans="1:12" x14ac:dyDescent="0.2">
      <c r="A254">
        <v>283</v>
      </c>
      <c r="B254" t="s">
        <v>412</v>
      </c>
      <c r="C254">
        <v>30</v>
      </c>
      <c r="D254">
        <v>37</v>
      </c>
      <c r="E254">
        <v>5</v>
      </c>
      <c r="F254" t="s">
        <v>701</v>
      </c>
      <c r="G254" t="s">
        <v>702</v>
      </c>
      <c r="H254" t="str">
        <f>VLOOKUP(B254,ColesStoreData!$B:$F,2,0)</f>
        <v>VIC</v>
      </c>
      <c r="I254">
        <f>VLOOKUP(B254,ColesStoreData!$B:$F,3,0)</f>
        <v>8559</v>
      </c>
      <c r="J254">
        <f>VLOOKUP(B254,ColesStoreData!$B:$F,5,0)</f>
        <v>1700</v>
      </c>
      <c r="K254">
        <f t="shared" si="8"/>
        <v>32</v>
      </c>
      <c r="L254" s="1">
        <f t="shared" si="9"/>
        <v>0.86486486486486491</v>
      </c>
    </row>
    <row r="255" spans="1:12" x14ac:dyDescent="0.2">
      <c r="A255">
        <v>284</v>
      </c>
      <c r="B255" t="s">
        <v>411</v>
      </c>
      <c r="C255">
        <v>48</v>
      </c>
      <c r="D255">
        <v>36</v>
      </c>
      <c r="E255">
        <v>17</v>
      </c>
      <c r="F255" t="s">
        <v>703</v>
      </c>
      <c r="G255" t="s">
        <v>700</v>
      </c>
      <c r="H255" t="str">
        <f>VLOOKUP(B255,ColesStoreData!$B:$F,2,0)</f>
        <v>SA</v>
      </c>
      <c r="I255">
        <f>VLOOKUP(B255,ColesStoreData!$B:$F,3,0)</f>
        <v>6629</v>
      </c>
      <c r="J255">
        <f>VLOOKUP(B255,ColesStoreData!$B:$F,5,0)</f>
        <v>1700</v>
      </c>
      <c r="K255">
        <f t="shared" si="8"/>
        <v>19</v>
      </c>
      <c r="L255" s="1">
        <f t="shared" si="9"/>
        <v>0.52777777777777779</v>
      </c>
    </row>
    <row r="256" spans="1:12" x14ac:dyDescent="0.2">
      <c r="A256">
        <v>287</v>
      </c>
      <c r="B256" t="s">
        <v>408</v>
      </c>
      <c r="C256">
        <v>37</v>
      </c>
      <c r="D256">
        <v>42</v>
      </c>
      <c r="E256">
        <v>15</v>
      </c>
      <c r="F256" t="s">
        <v>703</v>
      </c>
      <c r="G256" t="s">
        <v>700</v>
      </c>
      <c r="H256" t="str">
        <f>VLOOKUP(B256,ColesStoreData!$B:$F,2,0)</f>
        <v>QLD</v>
      </c>
      <c r="I256">
        <f>VLOOKUP(B256,ColesStoreData!$B:$F,3,0)</f>
        <v>9093</v>
      </c>
      <c r="J256">
        <f>VLOOKUP(B256,ColesStoreData!$B:$F,5,0)</f>
        <v>1700</v>
      </c>
      <c r="K256">
        <f t="shared" si="8"/>
        <v>27</v>
      </c>
      <c r="L256" s="1">
        <f t="shared" si="9"/>
        <v>0.6428571428571429</v>
      </c>
    </row>
    <row r="257" spans="1:12" x14ac:dyDescent="0.2">
      <c r="A257">
        <v>288</v>
      </c>
      <c r="B257" t="s">
        <v>407</v>
      </c>
      <c r="C257">
        <v>26</v>
      </c>
      <c r="D257">
        <v>46</v>
      </c>
      <c r="E257">
        <v>10</v>
      </c>
      <c r="F257" t="s">
        <v>701</v>
      </c>
      <c r="G257" t="s">
        <v>702</v>
      </c>
      <c r="H257" t="str">
        <f>VLOOKUP(B257,ColesStoreData!$B:$F,2,0)</f>
        <v>NSW</v>
      </c>
      <c r="I257">
        <f>VLOOKUP(B257,ColesStoreData!$B:$F,3,0)</f>
        <v>6853</v>
      </c>
      <c r="J257">
        <f>VLOOKUP(B257,ColesStoreData!$B:$F,5,0)</f>
        <v>1900</v>
      </c>
      <c r="K257">
        <f t="shared" si="8"/>
        <v>36</v>
      </c>
      <c r="L257" s="1">
        <f t="shared" si="9"/>
        <v>0.78260869565217395</v>
      </c>
    </row>
    <row r="258" spans="1:12" x14ac:dyDescent="0.2">
      <c r="A258">
        <v>289</v>
      </c>
      <c r="B258" t="s">
        <v>406</v>
      </c>
      <c r="C258">
        <v>29</v>
      </c>
      <c r="D258">
        <v>32</v>
      </c>
      <c r="E258">
        <v>8</v>
      </c>
      <c r="F258" t="s">
        <v>703</v>
      </c>
      <c r="G258" t="s">
        <v>700</v>
      </c>
      <c r="H258" t="str">
        <f>VLOOKUP(B258,ColesStoreData!$B:$F,2,0)</f>
        <v>VIC</v>
      </c>
      <c r="I258">
        <f>VLOOKUP(B258,ColesStoreData!$B:$F,3,0)</f>
        <v>7756</v>
      </c>
      <c r="J258">
        <f>VLOOKUP(B258,ColesStoreData!$B:$F,5,0)</f>
        <v>1700</v>
      </c>
      <c r="K258">
        <f t="shared" si="8"/>
        <v>24</v>
      </c>
      <c r="L258" s="1">
        <f t="shared" si="9"/>
        <v>0.75</v>
      </c>
    </row>
    <row r="259" spans="1:12" x14ac:dyDescent="0.2">
      <c r="A259">
        <v>290</v>
      </c>
      <c r="B259" t="s">
        <v>405</v>
      </c>
      <c r="C259">
        <v>24</v>
      </c>
      <c r="D259">
        <v>39</v>
      </c>
      <c r="E259">
        <v>7</v>
      </c>
      <c r="F259" t="s">
        <v>703</v>
      </c>
      <c r="G259" t="s">
        <v>702</v>
      </c>
      <c r="H259" t="str">
        <f>VLOOKUP(B259,ColesStoreData!$B:$F,2,0)</f>
        <v>NSW</v>
      </c>
      <c r="I259">
        <f>VLOOKUP(B259,ColesStoreData!$B:$F,3,0)</f>
        <v>6084</v>
      </c>
      <c r="J259">
        <f>VLOOKUP(B259,ColesStoreData!$B:$F,5,0)</f>
        <v>1700</v>
      </c>
      <c r="K259">
        <f t="shared" si="8"/>
        <v>32</v>
      </c>
      <c r="L259" s="1">
        <f t="shared" si="9"/>
        <v>0.82051282051282048</v>
      </c>
    </row>
    <row r="260" spans="1:12" x14ac:dyDescent="0.2">
      <c r="A260">
        <v>291</v>
      </c>
      <c r="B260" t="s">
        <v>404</v>
      </c>
      <c r="C260">
        <v>43</v>
      </c>
      <c r="D260">
        <v>54</v>
      </c>
      <c r="E260">
        <v>12</v>
      </c>
      <c r="F260" t="s">
        <v>703</v>
      </c>
      <c r="G260" t="s">
        <v>700</v>
      </c>
      <c r="H260" t="str">
        <f>VLOOKUP(B260,ColesStoreData!$B:$F,2,0)</f>
        <v>WA</v>
      </c>
      <c r="I260">
        <f>VLOOKUP(B260,ColesStoreData!$B:$F,3,0)</f>
        <v>10938</v>
      </c>
      <c r="J260">
        <f>VLOOKUP(B260,ColesStoreData!$B:$F,5,0)</f>
        <v>2500</v>
      </c>
      <c r="K260">
        <f t="shared" si="8"/>
        <v>42</v>
      </c>
      <c r="L260" s="1">
        <f t="shared" si="9"/>
        <v>0.77777777777777779</v>
      </c>
    </row>
    <row r="261" spans="1:12" x14ac:dyDescent="0.2">
      <c r="A261">
        <v>293</v>
      </c>
      <c r="B261" t="s">
        <v>402</v>
      </c>
      <c r="C261">
        <v>40</v>
      </c>
      <c r="D261">
        <v>29</v>
      </c>
      <c r="E261">
        <v>14</v>
      </c>
      <c r="F261" t="s">
        <v>703</v>
      </c>
      <c r="G261" t="s">
        <v>700</v>
      </c>
      <c r="H261" t="str">
        <f>VLOOKUP(B261,ColesStoreData!$B:$F,2,0)</f>
        <v>QLD</v>
      </c>
      <c r="I261">
        <f>VLOOKUP(B261,ColesStoreData!$B:$F,3,0)</f>
        <v>6075</v>
      </c>
      <c r="J261">
        <f>VLOOKUP(B261,ColesStoreData!$B:$F,5,0)</f>
        <v>1700</v>
      </c>
      <c r="K261">
        <f t="shared" si="8"/>
        <v>15</v>
      </c>
      <c r="L261" s="1">
        <f t="shared" si="9"/>
        <v>0.51724137931034486</v>
      </c>
    </row>
    <row r="262" spans="1:12" x14ac:dyDescent="0.2">
      <c r="A262">
        <v>295</v>
      </c>
      <c r="B262" t="s">
        <v>400</v>
      </c>
      <c r="C262">
        <v>29</v>
      </c>
      <c r="D262">
        <v>46</v>
      </c>
      <c r="E262">
        <v>8</v>
      </c>
      <c r="F262" t="s">
        <v>701</v>
      </c>
      <c r="G262" t="s">
        <v>702</v>
      </c>
      <c r="H262" t="str">
        <f>VLOOKUP(B262,ColesStoreData!$B:$F,2,0)</f>
        <v>NSW</v>
      </c>
      <c r="I262">
        <f>VLOOKUP(B262,ColesStoreData!$B:$F,3,0)</f>
        <v>8436</v>
      </c>
      <c r="J262">
        <f>VLOOKUP(B262,ColesStoreData!$B:$F,5,0)</f>
        <v>1900</v>
      </c>
      <c r="K262">
        <f t="shared" si="8"/>
        <v>38</v>
      </c>
      <c r="L262" s="1">
        <f t="shared" si="9"/>
        <v>0.82608695652173914</v>
      </c>
    </row>
    <row r="263" spans="1:12" x14ac:dyDescent="0.2">
      <c r="A263">
        <v>296</v>
      </c>
      <c r="B263" t="s">
        <v>399</v>
      </c>
      <c r="C263">
        <v>22</v>
      </c>
      <c r="D263">
        <v>60</v>
      </c>
      <c r="E263">
        <v>11</v>
      </c>
      <c r="F263" t="s">
        <v>701</v>
      </c>
      <c r="G263" t="s">
        <v>702</v>
      </c>
      <c r="H263" t="str">
        <f>VLOOKUP(B263,ColesStoreData!$B:$F,2,0)</f>
        <v>NSW</v>
      </c>
      <c r="I263">
        <f>VLOOKUP(B263,ColesStoreData!$B:$F,3,0)</f>
        <v>8997</v>
      </c>
      <c r="J263">
        <f>VLOOKUP(B263,ColesStoreData!$B:$F,5,0)</f>
        <v>2700</v>
      </c>
      <c r="K263">
        <f t="shared" si="8"/>
        <v>49</v>
      </c>
      <c r="L263" s="1">
        <f t="shared" si="9"/>
        <v>0.81666666666666665</v>
      </c>
    </row>
    <row r="264" spans="1:12" x14ac:dyDescent="0.2">
      <c r="A264">
        <v>297</v>
      </c>
      <c r="B264" t="s">
        <v>398</v>
      </c>
      <c r="C264">
        <v>30</v>
      </c>
      <c r="D264">
        <v>35</v>
      </c>
      <c r="E264">
        <v>11</v>
      </c>
      <c r="F264" t="s">
        <v>701</v>
      </c>
      <c r="G264" t="s">
        <v>700</v>
      </c>
      <c r="H264" t="str">
        <f>VLOOKUP(B264,ColesStoreData!$B:$F,2,0)</f>
        <v>VIC</v>
      </c>
      <c r="I264">
        <f>VLOOKUP(B264,ColesStoreData!$B:$F,3,0)</f>
        <v>9275</v>
      </c>
      <c r="J264">
        <f>VLOOKUP(B264,ColesStoreData!$B:$F,5,0)</f>
        <v>1700</v>
      </c>
      <c r="K264">
        <f t="shared" si="8"/>
        <v>24</v>
      </c>
      <c r="L264" s="1">
        <f t="shared" si="9"/>
        <v>0.68571428571428572</v>
      </c>
    </row>
    <row r="265" spans="1:12" x14ac:dyDescent="0.2">
      <c r="A265">
        <v>298</v>
      </c>
      <c r="B265" t="s">
        <v>397</v>
      </c>
      <c r="C265">
        <v>50</v>
      </c>
      <c r="D265">
        <v>29</v>
      </c>
      <c r="E265">
        <v>13</v>
      </c>
      <c r="F265" t="s">
        <v>703</v>
      </c>
      <c r="G265" t="s">
        <v>700</v>
      </c>
      <c r="H265" t="str">
        <f>VLOOKUP(B265,ColesStoreData!$B:$F,2,0)</f>
        <v>NT</v>
      </c>
      <c r="I265">
        <f>VLOOKUP(B265,ColesStoreData!$B:$F,3,0)</f>
        <v>7156</v>
      </c>
      <c r="J265">
        <f>VLOOKUP(B265,ColesStoreData!$B:$F,5,0)</f>
        <v>1700</v>
      </c>
      <c r="K265">
        <f t="shared" si="8"/>
        <v>16</v>
      </c>
      <c r="L265" s="1">
        <f t="shared" si="9"/>
        <v>0.55172413793103448</v>
      </c>
    </row>
    <row r="266" spans="1:12" x14ac:dyDescent="0.2">
      <c r="A266">
        <v>299</v>
      </c>
      <c r="B266" t="s">
        <v>396</v>
      </c>
      <c r="C266">
        <v>43</v>
      </c>
      <c r="D266">
        <v>48</v>
      </c>
      <c r="E266">
        <v>8</v>
      </c>
      <c r="F266" t="s">
        <v>701</v>
      </c>
      <c r="G266" t="s">
        <v>700</v>
      </c>
      <c r="H266" t="str">
        <f>VLOOKUP(B266,ColesStoreData!$B:$F,2,0)</f>
        <v>WA</v>
      </c>
      <c r="I266">
        <f>VLOOKUP(B266,ColesStoreData!$B:$F,3,0)</f>
        <v>7239</v>
      </c>
      <c r="J266">
        <f>VLOOKUP(B266,ColesStoreData!$B:$F,5,0)</f>
        <v>1900</v>
      </c>
      <c r="K266">
        <f t="shared" si="8"/>
        <v>40</v>
      </c>
      <c r="L266" s="1">
        <f t="shared" si="9"/>
        <v>0.83333333333333337</v>
      </c>
    </row>
    <row r="267" spans="1:12" x14ac:dyDescent="0.2">
      <c r="A267">
        <v>300</v>
      </c>
      <c r="B267" t="s">
        <v>395</v>
      </c>
      <c r="C267">
        <v>42</v>
      </c>
      <c r="D267">
        <v>42</v>
      </c>
      <c r="E267">
        <v>11</v>
      </c>
      <c r="F267" t="s">
        <v>703</v>
      </c>
      <c r="G267" t="s">
        <v>700</v>
      </c>
      <c r="H267" t="str">
        <f>VLOOKUP(B267,ColesStoreData!$B:$F,2,0)</f>
        <v>QLD</v>
      </c>
      <c r="I267">
        <f>VLOOKUP(B267,ColesStoreData!$B:$F,3,0)</f>
        <v>7706</v>
      </c>
      <c r="J267">
        <f>VLOOKUP(B267,ColesStoreData!$B:$F,5,0)</f>
        <v>1700</v>
      </c>
      <c r="K267">
        <f t="shared" si="8"/>
        <v>31</v>
      </c>
      <c r="L267" s="1">
        <f t="shared" si="9"/>
        <v>0.73809523809523814</v>
      </c>
    </row>
    <row r="268" spans="1:12" x14ac:dyDescent="0.2">
      <c r="A268">
        <v>301</v>
      </c>
      <c r="B268" t="s">
        <v>394</v>
      </c>
      <c r="C268">
        <v>46</v>
      </c>
      <c r="D268">
        <v>44</v>
      </c>
      <c r="E268">
        <v>10</v>
      </c>
      <c r="F268" t="s">
        <v>701</v>
      </c>
      <c r="G268" t="s">
        <v>700</v>
      </c>
      <c r="H268" t="str">
        <f>VLOOKUP(B268,ColesStoreData!$B:$F,2,0)</f>
        <v>WA</v>
      </c>
      <c r="I268">
        <f>VLOOKUP(B268,ColesStoreData!$B:$F,3,0)</f>
        <v>8127</v>
      </c>
      <c r="J268">
        <f>VLOOKUP(B268,ColesStoreData!$B:$F,5,0)</f>
        <v>1700</v>
      </c>
      <c r="K268">
        <f t="shared" si="8"/>
        <v>34</v>
      </c>
      <c r="L268" s="1">
        <f t="shared" si="9"/>
        <v>0.77272727272727271</v>
      </c>
    </row>
    <row r="269" spans="1:12" x14ac:dyDescent="0.2">
      <c r="A269">
        <v>302</v>
      </c>
      <c r="B269" t="s">
        <v>393</v>
      </c>
      <c r="C269">
        <v>48</v>
      </c>
      <c r="D269">
        <v>25</v>
      </c>
      <c r="E269">
        <v>7</v>
      </c>
      <c r="F269" t="s">
        <v>703</v>
      </c>
      <c r="G269" t="s">
        <v>700</v>
      </c>
      <c r="H269" t="str">
        <f>VLOOKUP(B269,ColesStoreData!$B:$F,2,0)</f>
        <v>SA</v>
      </c>
      <c r="I269">
        <f>VLOOKUP(B269,ColesStoreData!$B:$F,3,0)</f>
        <v>6503</v>
      </c>
      <c r="J269">
        <f>VLOOKUP(B269,ColesStoreData!$B:$F,5,0)</f>
        <v>1700</v>
      </c>
      <c r="K269">
        <f t="shared" si="8"/>
        <v>18</v>
      </c>
      <c r="L269" s="1">
        <f t="shared" si="9"/>
        <v>0.72</v>
      </c>
    </row>
    <row r="270" spans="1:12" x14ac:dyDescent="0.2">
      <c r="A270">
        <v>303</v>
      </c>
      <c r="B270" t="s">
        <v>392</v>
      </c>
      <c r="C270">
        <v>24</v>
      </c>
      <c r="D270">
        <v>32</v>
      </c>
      <c r="E270">
        <v>6</v>
      </c>
      <c r="F270" t="s">
        <v>703</v>
      </c>
      <c r="G270" t="s">
        <v>702</v>
      </c>
      <c r="H270" t="str">
        <f>VLOOKUP(B270,ColesStoreData!$B:$F,2,0)</f>
        <v>NSW</v>
      </c>
      <c r="I270">
        <f>VLOOKUP(B270,ColesStoreData!$B:$F,3,0)</f>
        <v>9703</v>
      </c>
      <c r="J270">
        <f>VLOOKUP(B270,ColesStoreData!$B:$F,5,0)</f>
        <v>1700</v>
      </c>
      <c r="K270">
        <f t="shared" si="8"/>
        <v>26</v>
      </c>
      <c r="L270" s="1">
        <f t="shared" si="9"/>
        <v>0.8125</v>
      </c>
    </row>
    <row r="271" spans="1:12" x14ac:dyDescent="0.2">
      <c r="A271">
        <v>304</v>
      </c>
      <c r="B271" t="s">
        <v>391</v>
      </c>
      <c r="C271">
        <v>46</v>
      </c>
      <c r="D271">
        <v>32</v>
      </c>
      <c r="E271">
        <v>14</v>
      </c>
      <c r="F271" t="s">
        <v>701</v>
      </c>
      <c r="G271" t="s">
        <v>700</v>
      </c>
      <c r="H271" t="str">
        <f>VLOOKUP(B271,ColesStoreData!$B:$F,2,0)</f>
        <v>WA</v>
      </c>
      <c r="I271">
        <f>VLOOKUP(B271,ColesStoreData!$B:$F,3,0)</f>
        <v>9290</v>
      </c>
      <c r="J271">
        <f>VLOOKUP(B271,ColesStoreData!$B:$F,5,0)</f>
        <v>1700</v>
      </c>
      <c r="K271">
        <f t="shared" si="8"/>
        <v>18</v>
      </c>
      <c r="L271" s="1">
        <f t="shared" si="9"/>
        <v>0.5625</v>
      </c>
    </row>
    <row r="272" spans="1:12" x14ac:dyDescent="0.2">
      <c r="A272">
        <v>305</v>
      </c>
      <c r="B272" t="s">
        <v>390</v>
      </c>
      <c r="C272">
        <v>27</v>
      </c>
      <c r="D272">
        <v>49</v>
      </c>
      <c r="E272">
        <v>12</v>
      </c>
      <c r="F272" t="s">
        <v>701</v>
      </c>
      <c r="G272" t="s">
        <v>702</v>
      </c>
      <c r="H272" t="str">
        <f>VLOOKUP(B272,ColesStoreData!$B:$F,2,0)</f>
        <v>NSW</v>
      </c>
      <c r="I272">
        <f>VLOOKUP(B272,ColesStoreData!$B:$F,3,0)</f>
        <v>7472</v>
      </c>
      <c r="J272">
        <f>VLOOKUP(B272,ColesStoreData!$B:$F,5,0)</f>
        <v>1900</v>
      </c>
      <c r="K272">
        <f t="shared" si="8"/>
        <v>37</v>
      </c>
      <c r="L272" s="1">
        <f t="shared" si="9"/>
        <v>0.75510204081632648</v>
      </c>
    </row>
    <row r="273" spans="1:12" x14ac:dyDescent="0.2">
      <c r="A273">
        <v>306</v>
      </c>
      <c r="B273" t="s">
        <v>389</v>
      </c>
      <c r="C273">
        <v>44</v>
      </c>
      <c r="D273">
        <v>26</v>
      </c>
      <c r="E273">
        <v>4</v>
      </c>
      <c r="F273" t="s">
        <v>701</v>
      </c>
      <c r="G273" t="s">
        <v>700</v>
      </c>
      <c r="H273" t="str">
        <f>VLOOKUP(B273,ColesStoreData!$B:$F,2,0)</f>
        <v>WA</v>
      </c>
      <c r="I273">
        <f>VLOOKUP(B273,ColesStoreData!$B:$F,3,0)</f>
        <v>9513</v>
      </c>
      <c r="J273">
        <f>VLOOKUP(B273,ColesStoreData!$B:$F,5,0)</f>
        <v>1700</v>
      </c>
      <c r="K273">
        <f t="shared" si="8"/>
        <v>22</v>
      </c>
      <c r="L273" s="1">
        <f t="shared" si="9"/>
        <v>0.84615384615384615</v>
      </c>
    </row>
    <row r="274" spans="1:12" x14ac:dyDescent="0.2">
      <c r="A274">
        <v>307</v>
      </c>
      <c r="B274" t="s">
        <v>388</v>
      </c>
      <c r="C274">
        <v>33</v>
      </c>
      <c r="D274">
        <v>34</v>
      </c>
      <c r="E274">
        <v>11</v>
      </c>
      <c r="F274" t="s">
        <v>703</v>
      </c>
      <c r="G274" t="s">
        <v>700</v>
      </c>
      <c r="H274" t="str">
        <f>VLOOKUP(B274,ColesStoreData!$B:$F,2,0)</f>
        <v>VIC</v>
      </c>
      <c r="I274">
        <f>VLOOKUP(B274,ColesStoreData!$B:$F,3,0)</f>
        <v>6161</v>
      </c>
      <c r="J274">
        <f>VLOOKUP(B274,ColesStoreData!$B:$F,5,0)</f>
        <v>1700</v>
      </c>
      <c r="K274">
        <f t="shared" si="8"/>
        <v>23</v>
      </c>
      <c r="L274" s="1">
        <f t="shared" si="9"/>
        <v>0.67647058823529416</v>
      </c>
    </row>
    <row r="275" spans="1:12" x14ac:dyDescent="0.2">
      <c r="A275">
        <v>309</v>
      </c>
      <c r="B275" t="s">
        <v>386</v>
      </c>
      <c r="C275">
        <v>42</v>
      </c>
      <c r="D275">
        <v>57</v>
      </c>
      <c r="E275">
        <v>10</v>
      </c>
      <c r="F275" t="s">
        <v>701</v>
      </c>
      <c r="G275" t="s">
        <v>702</v>
      </c>
      <c r="H275" t="str">
        <f>VLOOKUP(B275,ColesStoreData!$B:$F,2,0)</f>
        <v>QLD</v>
      </c>
      <c r="I275">
        <f>VLOOKUP(B275,ColesStoreData!$B:$F,3,0)</f>
        <v>23473</v>
      </c>
      <c r="J275">
        <f>VLOOKUP(B275,ColesStoreData!$B:$F,5,0)</f>
        <v>2500</v>
      </c>
      <c r="K275">
        <f t="shared" si="8"/>
        <v>47</v>
      </c>
      <c r="L275" s="1">
        <f t="shared" si="9"/>
        <v>0.82456140350877194</v>
      </c>
    </row>
    <row r="276" spans="1:12" x14ac:dyDescent="0.2">
      <c r="A276">
        <v>310</v>
      </c>
      <c r="B276" t="s">
        <v>385</v>
      </c>
      <c r="C276">
        <v>48</v>
      </c>
      <c r="D276">
        <v>39</v>
      </c>
      <c r="E276">
        <v>5</v>
      </c>
      <c r="F276" t="s">
        <v>701</v>
      </c>
      <c r="G276" t="s">
        <v>700</v>
      </c>
      <c r="H276" t="str">
        <f>VLOOKUP(B276,ColesStoreData!$B:$F,2,0)</f>
        <v>SA</v>
      </c>
      <c r="I276">
        <f>VLOOKUP(B276,ColesStoreData!$B:$F,3,0)</f>
        <v>7553</v>
      </c>
      <c r="J276">
        <f>VLOOKUP(B276,ColesStoreData!$B:$F,5,0)</f>
        <v>1700</v>
      </c>
      <c r="K276">
        <f t="shared" si="8"/>
        <v>34</v>
      </c>
      <c r="L276" s="1">
        <f t="shared" si="9"/>
        <v>0.87179487179487181</v>
      </c>
    </row>
    <row r="277" spans="1:12" x14ac:dyDescent="0.2">
      <c r="A277">
        <v>311</v>
      </c>
      <c r="B277" t="s">
        <v>384</v>
      </c>
      <c r="C277">
        <v>30</v>
      </c>
      <c r="D277">
        <v>40</v>
      </c>
      <c r="E277">
        <v>6</v>
      </c>
      <c r="F277" t="s">
        <v>701</v>
      </c>
      <c r="G277" t="s">
        <v>702</v>
      </c>
      <c r="H277" t="str">
        <f>VLOOKUP(B277,ColesStoreData!$B:$F,2,0)</f>
        <v>VIC</v>
      </c>
      <c r="I277">
        <f>VLOOKUP(B277,ColesStoreData!$B:$F,3,0)</f>
        <v>9029</v>
      </c>
      <c r="J277">
        <f>VLOOKUP(B277,ColesStoreData!$B:$F,5,0)</f>
        <v>1700</v>
      </c>
      <c r="K277">
        <f t="shared" si="8"/>
        <v>34</v>
      </c>
      <c r="L277" s="1">
        <f t="shared" si="9"/>
        <v>0.85</v>
      </c>
    </row>
    <row r="278" spans="1:12" x14ac:dyDescent="0.2">
      <c r="A278">
        <v>312</v>
      </c>
      <c r="B278" t="s">
        <v>383</v>
      </c>
      <c r="C278">
        <v>46</v>
      </c>
      <c r="D278">
        <v>25</v>
      </c>
      <c r="E278">
        <v>8</v>
      </c>
      <c r="F278" t="s">
        <v>703</v>
      </c>
      <c r="G278" t="s">
        <v>700</v>
      </c>
      <c r="H278" t="str">
        <f>VLOOKUP(B278,ColesStoreData!$B:$F,2,0)</f>
        <v>WA</v>
      </c>
      <c r="I278">
        <f>VLOOKUP(B278,ColesStoreData!$B:$F,3,0)</f>
        <v>7533</v>
      </c>
      <c r="J278">
        <f>VLOOKUP(B278,ColesStoreData!$B:$F,5,0)</f>
        <v>1700</v>
      </c>
      <c r="K278">
        <f t="shared" si="8"/>
        <v>17</v>
      </c>
      <c r="L278" s="1">
        <f t="shared" si="9"/>
        <v>0.68</v>
      </c>
    </row>
    <row r="279" spans="1:12" x14ac:dyDescent="0.2">
      <c r="A279">
        <v>313</v>
      </c>
      <c r="B279" t="s">
        <v>382</v>
      </c>
      <c r="C279">
        <v>47</v>
      </c>
      <c r="D279">
        <v>52</v>
      </c>
      <c r="E279">
        <v>6</v>
      </c>
      <c r="F279" t="s">
        <v>703</v>
      </c>
      <c r="G279" t="s">
        <v>700</v>
      </c>
      <c r="H279" t="str">
        <f>VLOOKUP(B279,ColesStoreData!$B:$F,2,0)</f>
        <v>SA</v>
      </c>
      <c r="I279">
        <f>VLOOKUP(B279,ColesStoreData!$B:$F,3,0)</f>
        <v>7052</v>
      </c>
      <c r="J279">
        <f>VLOOKUP(B279,ColesStoreData!$B:$F,5,0)</f>
        <v>1900</v>
      </c>
      <c r="K279">
        <f t="shared" si="8"/>
        <v>46</v>
      </c>
      <c r="L279" s="1">
        <f t="shared" si="9"/>
        <v>0.88461538461538458</v>
      </c>
    </row>
    <row r="280" spans="1:12" x14ac:dyDescent="0.2">
      <c r="A280">
        <v>314</v>
      </c>
      <c r="B280" t="s">
        <v>381</v>
      </c>
      <c r="C280">
        <v>45</v>
      </c>
      <c r="D280">
        <v>43</v>
      </c>
      <c r="E280">
        <v>11</v>
      </c>
      <c r="F280" t="s">
        <v>701</v>
      </c>
      <c r="G280" t="s">
        <v>700</v>
      </c>
      <c r="H280" t="str">
        <f>VLOOKUP(B280,ColesStoreData!$B:$F,2,0)</f>
        <v>WA</v>
      </c>
      <c r="I280">
        <f>VLOOKUP(B280,ColesStoreData!$B:$F,3,0)</f>
        <v>6296</v>
      </c>
      <c r="J280">
        <f>VLOOKUP(B280,ColesStoreData!$B:$F,5,0)</f>
        <v>1700</v>
      </c>
      <c r="K280">
        <f t="shared" si="8"/>
        <v>32</v>
      </c>
      <c r="L280" s="1">
        <f t="shared" si="9"/>
        <v>0.7441860465116279</v>
      </c>
    </row>
    <row r="281" spans="1:12" x14ac:dyDescent="0.2">
      <c r="A281">
        <v>315</v>
      </c>
      <c r="B281" t="s">
        <v>380</v>
      </c>
      <c r="C281">
        <v>37</v>
      </c>
      <c r="D281">
        <v>42</v>
      </c>
      <c r="E281">
        <v>13</v>
      </c>
      <c r="F281" t="s">
        <v>703</v>
      </c>
      <c r="G281" t="s">
        <v>700</v>
      </c>
      <c r="H281" t="str">
        <f>VLOOKUP(B281,ColesStoreData!$B:$F,2,0)</f>
        <v>VIC</v>
      </c>
      <c r="I281">
        <f>VLOOKUP(B281,ColesStoreData!$B:$F,3,0)</f>
        <v>7151</v>
      </c>
      <c r="J281">
        <f>VLOOKUP(B281,ColesStoreData!$B:$F,5,0)</f>
        <v>1700</v>
      </c>
      <c r="K281">
        <f t="shared" si="8"/>
        <v>29</v>
      </c>
      <c r="L281" s="1">
        <f t="shared" si="9"/>
        <v>0.69047619047619047</v>
      </c>
    </row>
    <row r="282" spans="1:12" x14ac:dyDescent="0.2">
      <c r="A282">
        <v>316</v>
      </c>
      <c r="B282" t="s">
        <v>379</v>
      </c>
      <c r="C282">
        <v>34</v>
      </c>
      <c r="D282">
        <v>58</v>
      </c>
      <c r="E282">
        <v>8</v>
      </c>
      <c r="F282" t="s">
        <v>703</v>
      </c>
      <c r="G282" t="s">
        <v>702</v>
      </c>
      <c r="H282" t="str">
        <f>VLOOKUP(B282,ColesStoreData!$B:$F,2,0)</f>
        <v>VIC</v>
      </c>
      <c r="I282">
        <f>VLOOKUP(B282,ColesStoreData!$B:$F,3,0)</f>
        <v>47242</v>
      </c>
      <c r="J282">
        <f>VLOOKUP(B282,ColesStoreData!$B:$F,5,0)</f>
        <v>2700</v>
      </c>
      <c r="K282">
        <f t="shared" si="8"/>
        <v>50</v>
      </c>
      <c r="L282" s="1">
        <f t="shared" si="9"/>
        <v>0.86206896551724133</v>
      </c>
    </row>
    <row r="283" spans="1:12" x14ac:dyDescent="0.2">
      <c r="A283">
        <v>317</v>
      </c>
      <c r="B283" t="s">
        <v>378</v>
      </c>
      <c r="C283">
        <v>29</v>
      </c>
      <c r="D283">
        <v>41</v>
      </c>
      <c r="E283">
        <v>12</v>
      </c>
      <c r="F283" t="s">
        <v>701</v>
      </c>
      <c r="G283" t="s">
        <v>702</v>
      </c>
      <c r="H283" t="str">
        <f>VLOOKUP(B283,ColesStoreData!$B:$F,2,0)</f>
        <v>VIC</v>
      </c>
      <c r="I283">
        <f>VLOOKUP(B283,ColesStoreData!$B:$F,3,0)</f>
        <v>6929</v>
      </c>
      <c r="J283">
        <f>VLOOKUP(B283,ColesStoreData!$B:$F,5,0)</f>
        <v>1700</v>
      </c>
      <c r="K283">
        <f t="shared" si="8"/>
        <v>29</v>
      </c>
      <c r="L283" s="1">
        <f t="shared" si="9"/>
        <v>0.70731707317073167</v>
      </c>
    </row>
    <row r="284" spans="1:12" x14ac:dyDescent="0.2">
      <c r="A284">
        <v>318</v>
      </c>
      <c r="B284" t="s">
        <v>377</v>
      </c>
      <c r="C284">
        <v>49</v>
      </c>
      <c r="D284">
        <v>43</v>
      </c>
      <c r="E284">
        <v>9</v>
      </c>
      <c r="F284" t="s">
        <v>703</v>
      </c>
      <c r="G284" t="s">
        <v>700</v>
      </c>
      <c r="H284" t="str">
        <f>VLOOKUP(B284,ColesStoreData!$B:$F,2,0)</f>
        <v>ACT</v>
      </c>
      <c r="I284">
        <f>VLOOKUP(B284,ColesStoreData!$B:$F,3,0)</f>
        <v>8112</v>
      </c>
      <c r="J284">
        <f>VLOOKUP(B284,ColesStoreData!$B:$F,5,0)</f>
        <v>1700</v>
      </c>
      <c r="K284">
        <f t="shared" si="8"/>
        <v>34</v>
      </c>
      <c r="L284" s="1">
        <f t="shared" si="9"/>
        <v>0.79069767441860461</v>
      </c>
    </row>
    <row r="285" spans="1:12" x14ac:dyDescent="0.2">
      <c r="A285">
        <v>319</v>
      </c>
      <c r="B285" t="s">
        <v>376</v>
      </c>
      <c r="C285">
        <v>28</v>
      </c>
      <c r="D285">
        <v>56</v>
      </c>
      <c r="E285">
        <v>8</v>
      </c>
      <c r="F285" t="s">
        <v>701</v>
      </c>
      <c r="G285" t="s">
        <v>702</v>
      </c>
      <c r="H285" t="str">
        <f>VLOOKUP(B285,ColesStoreData!$B:$F,2,0)</f>
        <v>NSW</v>
      </c>
      <c r="I285">
        <f>VLOOKUP(B285,ColesStoreData!$B:$F,3,0)</f>
        <v>22619</v>
      </c>
      <c r="J285">
        <f>VLOOKUP(B285,ColesStoreData!$B:$F,5,0)</f>
        <v>2500</v>
      </c>
      <c r="K285">
        <f t="shared" si="8"/>
        <v>48</v>
      </c>
      <c r="L285" s="1">
        <f t="shared" si="9"/>
        <v>0.8571428571428571</v>
      </c>
    </row>
    <row r="286" spans="1:12" x14ac:dyDescent="0.2">
      <c r="A286">
        <v>320</v>
      </c>
      <c r="B286" t="s">
        <v>375</v>
      </c>
      <c r="C286">
        <v>29</v>
      </c>
      <c r="D286">
        <v>36</v>
      </c>
      <c r="E286">
        <v>5</v>
      </c>
      <c r="F286" t="s">
        <v>703</v>
      </c>
      <c r="G286" t="s">
        <v>702</v>
      </c>
      <c r="H286" t="str">
        <f>VLOOKUP(B286,ColesStoreData!$B:$F,2,0)</f>
        <v>VIC</v>
      </c>
      <c r="I286">
        <f>VLOOKUP(B286,ColesStoreData!$B:$F,3,0)</f>
        <v>6080</v>
      </c>
      <c r="J286">
        <f>VLOOKUP(B286,ColesStoreData!$B:$F,5,0)</f>
        <v>1700</v>
      </c>
      <c r="K286">
        <f t="shared" si="8"/>
        <v>31</v>
      </c>
      <c r="L286" s="1">
        <f t="shared" si="9"/>
        <v>0.86111111111111116</v>
      </c>
    </row>
    <row r="287" spans="1:12" x14ac:dyDescent="0.2">
      <c r="A287">
        <v>321</v>
      </c>
      <c r="B287" t="s">
        <v>374</v>
      </c>
      <c r="C287">
        <v>39</v>
      </c>
      <c r="D287">
        <v>40</v>
      </c>
      <c r="E287">
        <v>8</v>
      </c>
      <c r="F287" t="s">
        <v>701</v>
      </c>
      <c r="G287" t="s">
        <v>700</v>
      </c>
      <c r="H287" t="str">
        <f>VLOOKUP(B287,ColesStoreData!$B:$F,2,0)</f>
        <v>QLD</v>
      </c>
      <c r="I287">
        <f>VLOOKUP(B287,ColesStoreData!$B:$F,3,0)</f>
        <v>6719</v>
      </c>
      <c r="J287">
        <f>VLOOKUP(B287,ColesStoreData!$B:$F,5,0)</f>
        <v>1700</v>
      </c>
      <c r="K287">
        <f t="shared" si="8"/>
        <v>32</v>
      </c>
      <c r="L287" s="1">
        <f t="shared" si="9"/>
        <v>0.8</v>
      </c>
    </row>
    <row r="288" spans="1:12" x14ac:dyDescent="0.2">
      <c r="A288">
        <v>322</v>
      </c>
      <c r="B288" t="s">
        <v>373</v>
      </c>
      <c r="C288">
        <v>25</v>
      </c>
      <c r="D288">
        <v>54</v>
      </c>
      <c r="E288">
        <v>2</v>
      </c>
      <c r="F288" t="s">
        <v>703</v>
      </c>
      <c r="G288" t="s">
        <v>702</v>
      </c>
      <c r="H288" t="str">
        <f>VLOOKUP(B288,ColesStoreData!$B:$F,2,0)</f>
        <v>NSW</v>
      </c>
      <c r="I288">
        <f>VLOOKUP(B288,ColesStoreData!$B:$F,3,0)</f>
        <v>37886</v>
      </c>
      <c r="J288">
        <f>VLOOKUP(B288,ColesStoreData!$B:$F,5,0)</f>
        <v>2500</v>
      </c>
      <c r="K288">
        <f t="shared" ref="K288:K344" si="10">D288-E288</f>
        <v>52</v>
      </c>
      <c r="L288" s="1">
        <f t="shared" si="9"/>
        <v>0.96296296296296291</v>
      </c>
    </row>
    <row r="289" spans="1:12" x14ac:dyDescent="0.2">
      <c r="A289">
        <v>323</v>
      </c>
      <c r="B289" t="s">
        <v>372</v>
      </c>
      <c r="C289">
        <v>46</v>
      </c>
      <c r="D289">
        <v>34</v>
      </c>
      <c r="E289">
        <v>10</v>
      </c>
      <c r="F289" t="s">
        <v>701</v>
      </c>
      <c r="G289" t="s">
        <v>700</v>
      </c>
      <c r="H289" t="str">
        <f>VLOOKUP(B289,ColesStoreData!$B:$F,2,0)</f>
        <v>WA</v>
      </c>
      <c r="I289">
        <f>VLOOKUP(B289,ColesStoreData!$B:$F,3,0)</f>
        <v>6586</v>
      </c>
      <c r="J289">
        <f>VLOOKUP(B289,ColesStoreData!$B:$F,5,0)</f>
        <v>1700</v>
      </c>
      <c r="K289">
        <f t="shared" si="10"/>
        <v>24</v>
      </c>
      <c r="L289" s="1">
        <f t="shared" si="9"/>
        <v>0.70588235294117652</v>
      </c>
    </row>
    <row r="290" spans="1:12" x14ac:dyDescent="0.2">
      <c r="A290">
        <v>324</v>
      </c>
      <c r="B290" t="s">
        <v>371</v>
      </c>
      <c r="C290">
        <v>31</v>
      </c>
      <c r="D290">
        <v>34</v>
      </c>
      <c r="E290">
        <v>8</v>
      </c>
      <c r="F290" t="s">
        <v>703</v>
      </c>
      <c r="G290" t="s">
        <v>700</v>
      </c>
      <c r="H290" t="str">
        <f>VLOOKUP(B290,ColesStoreData!$B:$F,2,0)</f>
        <v>VIC</v>
      </c>
      <c r="I290">
        <f>VLOOKUP(B290,ColesStoreData!$B:$F,3,0)</f>
        <v>8700</v>
      </c>
      <c r="J290">
        <f>VLOOKUP(B290,ColesStoreData!$B:$F,5,0)</f>
        <v>1700</v>
      </c>
      <c r="K290">
        <f t="shared" si="10"/>
        <v>26</v>
      </c>
      <c r="L290" s="1">
        <f t="shared" si="9"/>
        <v>0.76470588235294112</v>
      </c>
    </row>
    <row r="291" spans="1:12" x14ac:dyDescent="0.2">
      <c r="A291">
        <v>325</v>
      </c>
      <c r="B291" t="s">
        <v>370</v>
      </c>
      <c r="C291">
        <v>28</v>
      </c>
      <c r="D291">
        <v>41</v>
      </c>
      <c r="E291">
        <v>11</v>
      </c>
      <c r="F291" t="s">
        <v>701</v>
      </c>
      <c r="G291" t="s">
        <v>702</v>
      </c>
      <c r="H291" t="str">
        <f>VLOOKUP(B291,ColesStoreData!$B:$F,2,0)</f>
        <v>NSW</v>
      </c>
      <c r="I291">
        <f>VLOOKUP(B291,ColesStoreData!$B:$F,3,0)</f>
        <v>8225</v>
      </c>
      <c r="J291">
        <f>VLOOKUP(B291,ColesStoreData!$B:$F,5,0)</f>
        <v>1700</v>
      </c>
      <c r="K291">
        <f t="shared" si="10"/>
        <v>30</v>
      </c>
      <c r="L291" s="1">
        <f t="shared" si="9"/>
        <v>0.73170731707317072</v>
      </c>
    </row>
    <row r="292" spans="1:12" x14ac:dyDescent="0.2">
      <c r="A292">
        <v>326</v>
      </c>
      <c r="B292" t="s">
        <v>369</v>
      </c>
      <c r="C292">
        <v>21</v>
      </c>
      <c r="D292">
        <v>31</v>
      </c>
      <c r="E292">
        <v>9</v>
      </c>
      <c r="F292" t="s">
        <v>701</v>
      </c>
      <c r="G292" t="s">
        <v>702</v>
      </c>
      <c r="H292" t="str">
        <f>VLOOKUP(B292,ColesStoreData!$B:$F,2,0)</f>
        <v>NSW</v>
      </c>
      <c r="I292">
        <f>VLOOKUP(B292,ColesStoreData!$B:$F,3,0)</f>
        <v>7524</v>
      </c>
      <c r="J292">
        <f>VLOOKUP(B292,ColesStoreData!$B:$F,5,0)</f>
        <v>1700</v>
      </c>
      <c r="K292">
        <f t="shared" si="10"/>
        <v>22</v>
      </c>
      <c r="L292" s="1">
        <f t="shared" si="9"/>
        <v>0.70967741935483875</v>
      </c>
    </row>
    <row r="293" spans="1:12" x14ac:dyDescent="0.2">
      <c r="A293">
        <v>327</v>
      </c>
      <c r="B293" t="s">
        <v>368</v>
      </c>
      <c r="C293">
        <v>21</v>
      </c>
      <c r="D293">
        <v>55</v>
      </c>
      <c r="E293">
        <v>14</v>
      </c>
      <c r="F293" t="s">
        <v>703</v>
      </c>
      <c r="G293" t="s">
        <v>702</v>
      </c>
      <c r="H293" t="str">
        <f>VLOOKUP(B293,ColesStoreData!$B:$F,2,0)</f>
        <v>NSW</v>
      </c>
      <c r="I293">
        <f>VLOOKUP(B293,ColesStoreData!$B:$F,3,0)</f>
        <v>54073</v>
      </c>
      <c r="J293">
        <f>VLOOKUP(B293,ColesStoreData!$B:$F,5,0)</f>
        <v>2500</v>
      </c>
      <c r="K293">
        <f t="shared" si="10"/>
        <v>41</v>
      </c>
      <c r="L293" s="1">
        <f t="shared" si="9"/>
        <v>0.74545454545454548</v>
      </c>
    </row>
    <row r="294" spans="1:12" x14ac:dyDescent="0.2">
      <c r="A294">
        <v>328</v>
      </c>
      <c r="B294" t="s">
        <v>367</v>
      </c>
      <c r="C294">
        <v>38</v>
      </c>
      <c r="D294">
        <v>53</v>
      </c>
      <c r="E294">
        <v>9</v>
      </c>
      <c r="F294" t="s">
        <v>703</v>
      </c>
      <c r="G294" t="s">
        <v>702</v>
      </c>
      <c r="H294" t="str">
        <f>VLOOKUP(B294,ColesStoreData!$B:$F,2,0)</f>
        <v>QLD</v>
      </c>
      <c r="I294">
        <f>VLOOKUP(B294,ColesStoreData!$B:$F,3,0)</f>
        <v>7607</v>
      </c>
      <c r="J294">
        <f>VLOOKUP(B294,ColesStoreData!$B:$F,5,0)</f>
        <v>1900</v>
      </c>
      <c r="K294">
        <f t="shared" si="10"/>
        <v>44</v>
      </c>
      <c r="L294" s="1">
        <f t="shared" si="9"/>
        <v>0.83018867924528306</v>
      </c>
    </row>
    <row r="295" spans="1:12" x14ac:dyDescent="0.2">
      <c r="A295">
        <v>329</v>
      </c>
      <c r="B295" t="s">
        <v>366</v>
      </c>
      <c r="C295">
        <v>37</v>
      </c>
      <c r="D295">
        <v>55</v>
      </c>
      <c r="E295">
        <v>5</v>
      </c>
      <c r="F295" t="s">
        <v>703</v>
      </c>
      <c r="G295" t="s">
        <v>702</v>
      </c>
      <c r="H295" t="str">
        <f>VLOOKUP(B295,ColesStoreData!$B:$F,2,0)</f>
        <v>QLD</v>
      </c>
      <c r="I295">
        <f>VLOOKUP(B295,ColesStoreData!$B:$F,3,0)</f>
        <v>32908</v>
      </c>
      <c r="J295">
        <f>VLOOKUP(B295,ColesStoreData!$B:$F,5,0)</f>
        <v>2500</v>
      </c>
      <c r="K295">
        <f t="shared" si="10"/>
        <v>50</v>
      </c>
      <c r="L295" s="1">
        <f t="shared" si="9"/>
        <v>0.90909090909090906</v>
      </c>
    </row>
    <row r="296" spans="1:12" x14ac:dyDescent="0.2">
      <c r="A296">
        <v>332</v>
      </c>
      <c r="B296" t="s">
        <v>363</v>
      </c>
      <c r="C296">
        <v>45</v>
      </c>
      <c r="D296">
        <v>33</v>
      </c>
      <c r="E296">
        <v>9</v>
      </c>
      <c r="F296" t="s">
        <v>701</v>
      </c>
      <c r="G296" t="s">
        <v>700</v>
      </c>
      <c r="H296" t="str">
        <f>VLOOKUP(B296,ColesStoreData!$B:$F,2,0)</f>
        <v>WA</v>
      </c>
      <c r="I296">
        <f>VLOOKUP(B296,ColesStoreData!$B:$F,3,0)</f>
        <v>7903</v>
      </c>
      <c r="J296">
        <f>VLOOKUP(B296,ColesStoreData!$B:$F,5,0)</f>
        <v>1700</v>
      </c>
      <c r="K296">
        <f t="shared" si="10"/>
        <v>24</v>
      </c>
      <c r="L296" s="1">
        <f t="shared" si="9"/>
        <v>0.72727272727272729</v>
      </c>
    </row>
    <row r="297" spans="1:12" x14ac:dyDescent="0.2">
      <c r="A297">
        <v>333</v>
      </c>
      <c r="B297" t="s">
        <v>362</v>
      </c>
      <c r="C297">
        <v>30</v>
      </c>
      <c r="D297">
        <v>46</v>
      </c>
      <c r="E297">
        <v>15</v>
      </c>
      <c r="F297" t="s">
        <v>701</v>
      </c>
      <c r="G297" t="s">
        <v>702</v>
      </c>
      <c r="H297" t="str">
        <f>VLOOKUP(B297,ColesStoreData!$B:$F,2,0)</f>
        <v>VIC</v>
      </c>
      <c r="I297">
        <f>VLOOKUP(B297,ColesStoreData!$B:$F,3,0)</f>
        <v>6223</v>
      </c>
      <c r="J297">
        <f>VLOOKUP(B297,ColesStoreData!$B:$F,5,0)</f>
        <v>1900</v>
      </c>
      <c r="K297">
        <f t="shared" si="10"/>
        <v>31</v>
      </c>
      <c r="L297" s="1">
        <f t="shared" si="9"/>
        <v>0.67391304347826086</v>
      </c>
    </row>
    <row r="298" spans="1:12" x14ac:dyDescent="0.2">
      <c r="A298">
        <v>334</v>
      </c>
      <c r="B298" t="s">
        <v>361</v>
      </c>
      <c r="C298">
        <v>37</v>
      </c>
      <c r="D298">
        <v>28</v>
      </c>
      <c r="E298">
        <v>13</v>
      </c>
      <c r="F298" t="s">
        <v>703</v>
      </c>
      <c r="G298" t="s">
        <v>700</v>
      </c>
      <c r="H298" t="str">
        <f>VLOOKUP(B298,ColesStoreData!$B:$F,2,0)</f>
        <v>QLD</v>
      </c>
      <c r="I298">
        <f>VLOOKUP(B298,ColesStoreData!$B:$F,3,0)</f>
        <v>8133</v>
      </c>
      <c r="J298">
        <f>VLOOKUP(B298,ColesStoreData!$B:$F,5,0)</f>
        <v>1700</v>
      </c>
      <c r="K298">
        <f t="shared" si="10"/>
        <v>15</v>
      </c>
      <c r="L298" s="1">
        <f t="shared" si="9"/>
        <v>0.5357142857142857</v>
      </c>
    </row>
    <row r="299" spans="1:12" x14ac:dyDescent="0.2">
      <c r="A299">
        <v>335</v>
      </c>
      <c r="B299" t="s">
        <v>360</v>
      </c>
      <c r="C299">
        <v>39</v>
      </c>
      <c r="D299">
        <v>46</v>
      </c>
      <c r="E299">
        <v>12</v>
      </c>
      <c r="F299" t="s">
        <v>703</v>
      </c>
      <c r="G299" t="s">
        <v>700</v>
      </c>
      <c r="H299" t="str">
        <f>VLOOKUP(B299,ColesStoreData!$B:$F,2,0)</f>
        <v>QLD</v>
      </c>
      <c r="I299">
        <f>VLOOKUP(B299,ColesStoreData!$B:$F,3,0)</f>
        <v>9707</v>
      </c>
      <c r="J299">
        <f>VLOOKUP(B299,ColesStoreData!$B:$F,5,0)</f>
        <v>1900</v>
      </c>
      <c r="K299">
        <f t="shared" si="10"/>
        <v>34</v>
      </c>
      <c r="L299" s="1">
        <f t="shared" si="9"/>
        <v>0.73913043478260865</v>
      </c>
    </row>
    <row r="300" spans="1:12" x14ac:dyDescent="0.2">
      <c r="A300">
        <v>336</v>
      </c>
      <c r="B300" t="s">
        <v>359</v>
      </c>
      <c r="C300">
        <v>42</v>
      </c>
      <c r="D300">
        <v>59</v>
      </c>
      <c r="E300">
        <v>5</v>
      </c>
      <c r="F300" t="s">
        <v>701</v>
      </c>
      <c r="G300" t="s">
        <v>702</v>
      </c>
      <c r="H300" t="str">
        <f>VLOOKUP(B300,ColesStoreData!$B:$F,2,0)</f>
        <v>QLD</v>
      </c>
      <c r="I300">
        <f>VLOOKUP(B300,ColesStoreData!$B:$F,3,0)</f>
        <v>44789</v>
      </c>
      <c r="J300">
        <f>VLOOKUP(B300,ColesStoreData!$B:$F,5,0)</f>
        <v>2700</v>
      </c>
      <c r="K300">
        <f t="shared" si="10"/>
        <v>54</v>
      </c>
      <c r="L300" s="1">
        <f t="shared" si="9"/>
        <v>0.9152542372881356</v>
      </c>
    </row>
    <row r="301" spans="1:12" x14ac:dyDescent="0.2">
      <c r="A301">
        <v>337</v>
      </c>
      <c r="B301" t="s">
        <v>358</v>
      </c>
      <c r="C301">
        <v>20</v>
      </c>
      <c r="D301">
        <v>28</v>
      </c>
      <c r="E301">
        <v>12</v>
      </c>
      <c r="F301" t="s">
        <v>701</v>
      </c>
      <c r="G301" t="s">
        <v>700</v>
      </c>
      <c r="H301" t="str">
        <f>VLOOKUP(B301,ColesStoreData!$B:$F,2,0)</f>
        <v>NSW</v>
      </c>
      <c r="I301">
        <f>VLOOKUP(B301,ColesStoreData!$B:$F,3,0)</f>
        <v>8966</v>
      </c>
      <c r="J301">
        <f>VLOOKUP(B301,ColesStoreData!$B:$F,5,0)</f>
        <v>1700</v>
      </c>
      <c r="K301">
        <f t="shared" si="10"/>
        <v>16</v>
      </c>
      <c r="L301" s="1">
        <f t="shared" si="9"/>
        <v>0.5714285714285714</v>
      </c>
    </row>
    <row r="302" spans="1:12" x14ac:dyDescent="0.2">
      <c r="A302">
        <v>339</v>
      </c>
      <c r="B302" t="s">
        <v>356</v>
      </c>
      <c r="C302">
        <v>46</v>
      </c>
      <c r="D302">
        <v>31</v>
      </c>
      <c r="E302">
        <v>7</v>
      </c>
      <c r="F302" t="s">
        <v>703</v>
      </c>
      <c r="G302" t="s">
        <v>700</v>
      </c>
      <c r="H302" t="str">
        <f>VLOOKUP(B302,ColesStoreData!$B:$F,2,0)</f>
        <v>WA</v>
      </c>
      <c r="I302">
        <f>VLOOKUP(B302,ColesStoreData!$B:$F,3,0)</f>
        <v>8507</v>
      </c>
      <c r="J302">
        <f>VLOOKUP(B302,ColesStoreData!$B:$F,5,0)</f>
        <v>1700</v>
      </c>
      <c r="K302">
        <f t="shared" si="10"/>
        <v>24</v>
      </c>
      <c r="L302" s="1">
        <f t="shared" si="9"/>
        <v>0.77419354838709675</v>
      </c>
    </row>
    <row r="303" spans="1:12" x14ac:dyDescent="0.2">
      <c r="A303">
        <v>340</v>
      </c>
      <c r="B303" t="s">
        <v>355</v>
      </c>
      <c r="C303">
        <v>42</v>
      </c>
      <c r="D303">
        <v>50</v>
      </c>
      <c r="E303">
        <v>6</v>
      </c>
      <c r="F303" t="s">
        <v>701</v>
      </c>
      <c r="G303" t="s">
        <v>702</v>
      </c>
      <c r="H303" t="str">
        <f>VLOOKUP(B303,ColesStoreData!$B:$F,2,0)</f>
        <v>QLD</v>
      </c>
      <c r="I303">
        <f>VLOOKUP(B303,ColesStoreData!$B:$F,3,0)</f>
        <v>9012</v>
      </c>
      <c r="J303">
        <f>VLOOKUP(B303,ColesStoreData!$B:$F,5,0)</f>
        <v>1900</v>
      </c>
      <c r="K303">
        <f t="shared" si="10"/>
        <v>44</v>
      </c>
      <c r="L303" s="1">
        <f t="shared" si="9"/>
        <v>0.88</v>
      </c>
    </row>
    <row r="304" spans="1:12" x14ac:dyDescent="0.2">
      <c r="A304">
        <v>341</v>
      </c>
      <c r="B304" t="s">
        <v>354</v>
      </c>
      <c r="C304">
        <v>23</v>
      </c>
      <c r="D304">
        <v>30</v>
      </c>
      <c r="E304">
        <v>9</v>
      </c>
      <c r="F304" t="s">
        <v>701</v>
      </c>
      <c r="G304" t="s">
        <v>700</v>
      </c>
      <c r="H304" t="str">
        <f>VLOOKUP(B304,ColesStoreData!$B:$F,2,0)</f>
        <v>NSW</v>
      </c>
      <c r="I304">
        <f>VLOOKUP(B304,ColesStoreData!$B:$F,3,0)</f>
        <v>9410</v>
      </c>
      <c r="J304">
        <f>VLOOKUP(B304,ColesStoreData!$B:$F,5,0)</f>
        <v>1700</v>
      </c>
      <c r="K304">
        <f t="shared" si="10"/>
        <v>21</v>
      </c>
      <c r="L304" s="1">
        <f t="shared" si="9"/>
        <v>0.7</v>
      </c>
    </row>
    <row r="305" spans="1:12" x14ac:dyDescent="0.2">
      <c r="A305">
        <v>342</v>
      </c>
      <c r="B305" t="s">
        <v>353</v>
      </c>
      <c r="C305">
        <v>20</v>
      </c>
      <c r="D305">
        <v>36</v>
      </c>
      <c r="E305">
        <v>6</v>
      </c>
      <c r="F305" t="s">
        <v>701</v>
      </c>
      <c r="G305" t="s">
        <v>702</v>
      </c>
      <c r="H305" t="str">
        <f>VLOOKUP(B305,ColesStoreData!$B:$F,2,0)</f>
        <v>NSW</v>
      </c>
      <c r="I305">
        <f>VLOOKUP(B305,ColesStoreData!$B:$F,3,0)</f>
        <v>9691</v>
      </c>
      <c r="J305">
        <f>VLOOKUP(B305,ColesStoreData!$B:$F,5,0)</f>
        <v>1700</v>
      </c>
      <c r="K305">
        <f t="shared" si="10"/>
        <v>30</v>
      </c>
      <c r="L305" s="1">
        <f t="shared" si="9"/>
        <v>0.83333333333333337</v>
      </c>
    </row>
    <row r="306" spans="1:12" x14ac:dyDescent="0.2">
      <c r="A306">
        <v>343</v>
      </c>
      <c r="B306" t="s">
        <v>352</v>
      </c>
      <c r="C306">
        <v>40</v>
      </c>
      <c r="D306">
        <v>54</v>
      </c>
      <c r="E306">
        <v>11</v>
      </c>
      <c r="F306" t="s">
        <v>701</v>
      </c>
      <c r="G306" t="s">
        <v>702</v>
      </c>
      <c r="H306" t="str">
        <f>VLOOKUP(B306,ColesStoreData!$B:$F,2,0)</f>
        <v>QLD</v>
      </c>
      <c r="I306">
        <f>VLOOKUP(B306,ColesStoreData!$B:$F,3,0)</f>
        <v>18261</v>
      </c>
      <c r="J306">
        <f>VLOOKUP(B306,ColesStoreData!$B:$F,5,0)</f>
        <v>2500</v>
      </c>
      <c r="K306">
        <f t="shared" si="10"/>
        <v>43</v>
      </c>
      <c r="L306" s="1">
        <f t="shared" si="9"/>
        <v>0.79629629629629628</v>
      </c>
    </row>
    <row r="307" spans="1:12" x14ac:dyDescent="0.2">
      <c r="A307">
        <v>344</v>
      </c>
      <c r="B307" t="s">
        <v>351</v>
      </c>
      <c r="C307">
        <v>34</v>
      </c>
      <c r="D307">
        <v>37</v>
      </c>
      <c r="E307">
        <v>11</v>
      </c>
      <c r="F307" t="s">
        <v>701</v>
      </c>
      <c r="G307" t="s">
        <v>700</v>
      </c>
      <c r="H307" t="str">
        <f>VLOOKUP(B307,ColesStoreData!$B:$F,2,0)</f>
        <v>VIC</v>
      </c>
      <c r="I307">
        <f>VLOOKUP(B307,ColesStoreData!$B:$F,3,0)</f>
        <v>8143</v>
      </c>
      <c r="J307">
        <f>VLOOKUP(B307,ColesStoreData!$B:$F,5,0)</f>
        <v>1700</v>
      </c>
      <c r="K307">
        <f t="shared" si="10"/>
        <v>26</v>
      </c>
      <c r="L307" s="1">
        <f t="shared" si="9"/>
        <v>0.70270270270270274</v>
      </c>
    </row>
    <row r="308" spans="1:12" x14ac:dyDescent="0.2">
      <c r="A308">
        <v>345</v>
      </c>
      <c r="B308" t="s">
        <v>350</v>
      </c>
      <c r="C308">
        <v>34</v>
      </c>
      <c r="D308">
        <v>35</v>
      </c>
      <c r="E308">
        <v>10</v>
      </c>
      <c r="F308" t="s">
        <v>701</v>
      </c>
      <c r="G308" t="s">
        <v>700</v>
      </c>
      <c r="H308" t="str">
        <f>VLOOKUP(B308,ColesStoreData!$B:$F,2,0)</f>
        <v>VIC</v>
      </c>
      <c r="I308">
        <f>VLOOKUP(B308,ColesStoreData!$B:$F,3,0)</f>
        <v>8436</v>
      </c>
      <c r="J308">
        <f>VLOOKUP(B308,ColesStoreData!$B:$F,5,0)</f>
        <v>1700</v>
      </c>
      <c r="K308">
        <f t="shared" si="10"/>
        <v>25</v>
      </c>
      <c r="L308" s="1">
        <f t="shared" si="9"/>
        <v>0.7142857142857143</v>
      </c>
    </row>
    <row r="309" spans="1:12" x14ac:dyDescent="0.2">
      <c r="A309">
        <v>346</v>
      </c>
      <c r="B309" t="s">
        <v>349</v>
      </c>
      <c r="C309">
        <v>36</v>
      </c>
      <c r="D309">
        <v>54</v>
      </c>
      <c r="E309">
        <v>15</v>
      </c>
      <c r="F309" t="s">
        <v>703</v>
      </c>
      <c r="G309" t="s">
        <v>702</v>
      </c>
      <c r="H309" t="str">
        <f>VLOOKUP(B309,ColesStoreData!$B:$F,2,0)</f>
        <v>VIC</v>
      </c>
      <c r="I309">
        <f>VLOOKUP(B309,ColesStoreData!$B:$F,3,0)</f>
        <v>43162</v>
      </c>
      <c r="J309">
        <f>VLOOKUP(B309,ColesStoreData!$B:$F,5,0)</f>
        <v>2500</v>
      </c>
      <c r="K309">
        <f t="shared" si="10"/>
        <v>39</v>
      </c>
      <c r="L309" s="1">
        <f t="shared" si="9"/>
        <v>0.72222222222222221</v>
      </c>
    </row>
    <row r="310" spans="1:12" x14ac:dyDescent="0.2">
      <c r="A310">
        <v>347</v>
      </c>
      <c r="B310" t="s">
        <v>348</v>
      </c>
      <c r="C310">
        <v>45</v>
      </c>
      <c r="D310">
        <v>51</v>
      </c>
      <c r="E310">
        <v>13</v>
      </c>
      <c r="F310" t="s">
        <v>701</v>
      </c>
      <c r="G310" t="s">
        <v>700</v>
      </c>
      <c r="H310" t="str">
        <f>VLOOKUP(B310,ColesStoreData!$B:$F,2,0)</f>
        <v>WA</v>
      </c>
      <c r="I310">
        <f>VLOOKUP(B310,ColesStoreData!$B:$F,3,0)</f>
        <v>7665</v>
      </c>
      <c r="J310">
        <f>VLOOKUP(B310,ColesStoreData!$B:$F,5,0)</f>
        <v>1900</v>
      </c>
      <c r="K310">
        <f t="shared" si="10"/>
        <v>38</v>
      </c>
      <c r="L310" s="1">
        <f t="shared" si="9"/>
        <v>0.74509803921568629</v>
      </c>
    </row>
    <row r="311" spans="1:12" x14ac:dyDescent="0.2">
      <c r="A311">
        <v>350</v>
      </c>
      <c r="B311" t="s">
        <v>345</v>
      </c>
      <c r="C311">
        <v>38</v>
      </c>
      <c r="D311">
        <v>51</v>
      </c>
      <c r="E311">
        <v>10</v>
      </c>
      <c r="F311" t="s">
        <v>703</v>
      </c>
      <c r="G311" t="s">
        <v>702</v>
      </c>
      <c r="H311" t="str">
        <f>VLOOKUP(B311,ColesStoreData!$B:$F,2,0)</f>
        <v>QLD</v>
      </c>
      <c r="I311">
        <f>VLOOKUP(B311,ColesStoreData!$B:$F,3,0)</f>
        <v>6531</v>
      </c>
      <c r="J311">
        <f>VLOOKUP(B311,ColesStoreData!$B:$F,5,0)</f>
        <v>1900</v>
      </c>
      <c r="K311">
        <f t="shared" si="10"/>
        <v>41</v>
      </c>
      <c r="L311" s="1">
        <f t="shared" si="9"/>
        <v>0.80392156862745101</v>
      </c>
    </row>
    <row r="312" spans="1:12" x14ac:dyDescent="0.2">
      <c r="A312">
        <v>351</v>
      </c>
      <c r="B312" t="s">
        <v>344</v>
      </c>
      <c r="C312">
        <v>34</v>
      </c>
      <c r="D312">
        <v>34</v>
      </c>
      <c r="E312">
        <v>14</v>
      </c>
      <c r="F312" t="s">
        <v>703</v>
      </c>
      <c r="G312" t="s">
        <v>700</v>
      </c>
      <c r="H312" t="str">
        <f>VLOOKUP(B312,ColesStoreData!$B:$F,2,0)</f>
        <v>VIC</v>
      </c>
      <c r="I312">
        <f>VLOOKUP(B312,ColesStoreData!$B:$F,3,0)</f>
        <v>7692</v>
      </c>
      <c r="J312">
        <f>VLOOKUP(B312,ColesStoreData!$B:$F,5,0)</f>
        <v>1700</v>
      </c>
      <c r="K312">
        <f t="shared" si="10"/>
        <v>20</v>
      </c>
      <c r="L312" s="1">
        <f t="shared" si="9"/>
        <v>0.58823529411764708</v>
      </c>
    </row>
    <row r="313" spans="1:12" x14ac:dyDescent="0.2">
      <c r="A313">
        <v>352</v>
      </c>
      <c r="B313" t="s">
        <v>343</v>
      </c>
      <c r="C313">
        <v>24</v>
      </c>
      <c r="D313">
        <v>50</v>
      </c>
      <c r="E313">
        <v>13</v>
      </c>
      <c r="F313" t="s">
        <v>703</v>
      </c>
      <c r="G313" t="s">
        <v>702</v>
      </c>
      <c r="H313" t="str">
        <f>VLOOKUP(B313,ColesStoreData!$B:$F,2,0)</f>
        <v>NSW</v>
      </c>
      <c r="I313">
        <f>VLOOKUP(B313,ColesStoreData!$B:$F,3,0)</f>
        <v>8824</v>
      </c>
      <c r="J313">
        <f>VLOOKUP(B313,ColesStoreData!$B:$F,5,0)</f>
        <v>1900</v>
      </c>
      <c r="K313">
        <f t="shared" si="10"/>
        <v>37</v>
      </c>
      <c r="L313" s="1">
        <f t="shared" si="9"/>
        <v>0.74</v>
      </c>
    </row>
    <row r="314" spans="1:12" x14ac:dyDescent="0.2">
      <c r="A314">
        <v>353</v>
      </c>
      <c r="B314" t="s">
        <v>342</v>
      </c>
      <c r="C314">
        <v>38</v>
      </c>
      <c r="D314">
        <v>28</v>
      </c>
      <c r="E314">
        <v>11</v>
      </c>
      <c r="F314" t="s">
        <v>703</v>
      </c>
      <c r="G314" t="s">
        <v>700</v>
      </c>
      <c r="H314" t="str">
        <f>VLOOKUP(B314,ColesStoreData!$B:$F,2,0)</f>
        <v>QLD</v>
      </c>
      <c r="I314">
        <f>VLOOKUP(B314,ColesStoreData!$B:$F,3,0)</f>
        <v>8733</v>
      </c>
      <c r="J314">
        <f>VLOOKUP(B314,ColesStoreData!$B:$F,5,0)</f>
        <v>1700</v>
      </c>
      <c r="K314">
        <f t="shared" si="10"/>
        <v>17</v>
      </c>
      <c r="L314" s="1">
        <f t="shared" si="9"/>
        <v>0.6071428571428571</v>
      </c>
    </row>
    <row r="315" spans="1:12" x14ac:dyDescent="0.2">
      <c r="A315">
        <v>354</v>
      </c>
      <c r="B315" t="s">
        <v>341</v>
      </c>
      <c r="C315">
        <v>42</v>
      </c>
      <c r="D315">
        <v>38</v>
      </c>
      <c r="E315">
        <v>10</v>
      </c>
      <c r="F315" t="s">
        <v>701</v>
      </c>
      <c r="G315" t="s">
        <v>700</v>
      </c>
      <c r="H315" t="str">
        <f>VLOOKUP(B315,ColesStoreData!$B:$F,2,0)</f>
        <v>QLD</v>
      </c>
      <c r="I315">
        <f>VLOOKUP(B315,ColesStoreData!$B:$F,3,0)</f>
        <v>9346</v>
      </c>
      <c r="J315">
        <f>VLOOKUP(B315,ColesStoreData!$B:$F,5,0)</f>
        <v>1700</v>
      </c>
      <c r="K315">
        <f t="shared" si="10"/>
        <v>28</v>
      </c>
      <c r="L315" s="1">
        <f t="shared" si="9"/>
        <v>0.73684210526315785</v>
      </c>
    </row>
    <row r="316" spans="1:12" x14ac:dyDescent="0.2">
      <c r="A316">
        <v>356</v>
      </c>
      <c r="B316" t="s">
        <v>339</v>
      </c>
      <c r="C316">
        <v>27</v>
      </c>
      <c r="D316">
        <v>34</v>
      </c>
      <c r="E316">
        <v>10</v>
      </c>
      <c r="F316" t="s">
        <v>701</v>
      </c>
      <c r="G316" t="s">
        <v>700</v>
      </c>
      <c r="H316" t="str">
        <f>VLOOKUP(B316,ColesStoreData!$B:$F,2,0)</f>
        <v>NSW</v>
      </c>
      <c r="I316">
        <f>VLOOKUP(B316,ColesStoreData!$B:$F,3,0)</f>
        <v>7867</v>
      </c>
      <c r="J316">
        <f>VLOOKUP(B316,ColesStoreData!$B:$F,5,0)</f>
        <v>1700</v>
      </c>
      <c r="K316">
        <f t="shared" si="10"/>
        <v>24</v>
      </c>
      <c r="L316" s="1">
        <f t="shared" ref="L316:L378" si="11">K316/D316</f>
        <v>0.70588235294117652</v>
      </c>
    </row>
    <row r="317" spans="1:12" x14ac:dyDescent="0.2">
      <c r="A317">
        <v>357</v>
      </c>
      <c r="B317" t="s">
        <v>338</v>
      </c>
      <c r="C317">
        <v>39</v>
      </c>
      <c r="D317">
        <v>26</v>
      </c>
      <c r="E317">
        <v>7</v>
      </c>
      <c r="F317" t="s">
        <v>701</v>
      </c>
      <c r="G317" t="s">
        <v>700</v>
      </c>
      <c r="H317" t="str">
        <f>VLOOKUP(B317,ColesStoreData!$B:$F,2,0)</f>
        <v>QLD</v>
      </c>
      <c r="I317">
        <f>VLOOKUP(B317,ColesStoreData!$B:$F,3,0)</f>
        <v>6016</v>
      </c>
      <c r="J317">
        <f>VLOOKUP(B317,ColesStoreData!$B:$F,5,0)</f>
        <v>1700</v>
      </c>
      <c r="K317">
        <f t="shared" si="10"/>
        <v>19</v>
      </c>
      <c r="L317" s="1">
        <f t="shared" si="11"/>
        <v>0.73076923076923073</v>
      </c>
    </row>
    <row r="318" spans="1:12" x14ac:dyDescent="0.2">
      <c r="A318">
        <v>358</v>
      </c>
      <c r="B318" t="s">
        <v>337</v>
      </c>
      <c r="C318">
        <v>44</v>
      </c>
      <c r="D318">
        <v>28</v>
      </c>
      <c r="E318">
        <v>9</v>
      </c>
      <c r="F318" t="s">
        <v>703</v>
      </c>
      <c r="G318" t="s">
        <v>700</v>
      </c>
      <c r="H318" t="str">
        <f>VLOOKUP(B318,ColesStoreData!$B:$F,2,0)</f>
        <v>WA</v>
      </c>
      <c r="I318">
        <f>VLOOKUP(B318,ColesStoreData!$B:$F,3,0)</f>
        <v>7193</v>
      </c>
      <c r="J318">
        <f>VLOOKUP(B318,ColesStoreData!$B:$F,5,0)</f>
        <v>1700</v>
      </c>
      <c r="K318">
        <f t="shared" si="10"/>
        <v>19</v>
      </c>
      <c r="L318" s="1">
        <f t="shared" si="11"/>
        <v>0.6785714285714286</v>
      </c>
    </row>
    <row r="319" spans="1:12" x14ac:dyDescent="0.2">
      <c r="A319">
        <v>359</v>
      </c>
      <c r="B319" t="s">
        <v>336</v>
      </c>
      <c r="C319">
        <v>48</v>
      </c>
      <c r="D319">
        <v>46</v>
      </c>
      <c r="E319">
        <v>8</v>
      </c>
      <c r="F319" t="s">
        <v>703</v>
      </c>
      <c r="G319" t="s">
        <v>700</v>
      </c>
      <c r="H319" t="str">
        <f>VLOOKUP(B319,ColesStoreData!$B:$F,2,0)</f>
        <v>SA</v>
      </c>
      <c r="I319">
        <f>VLOOKUP(B319,ColesStoreData!$B:$F,3,0)</f>
        <v>8941</v>
      </c>
      <c r="J319">
        <f>VLOOKUP(B319,ColesStoreData!$B:$F,5,0)</f>
        <v>1900</v>
      </c>
      <c r="K319">
        <f t="shared" si="10"/>
        <v>38</v>
      </c>
      <c r="L319" s="1">
        <f t="shared" si="11"/>
        <v>0.82608695652173914</v>
      </c>
    </row>
    <row r="320" spans="1:12" x14ac:dyDescent="0.2">
      <c r="A320">
        <v>360</v>
      </c>
      <c r="B320" t="s">
        <v>335</v>
      </c>
      <c r="C320">
        <v>43</v>
      </c>
      <c r="D320">
        <v>57</v>
      </c>
      <c r="E320">
        <v>12</v>
      </c>
      <c r="F320" t="s">
        <v>701</v>
      </c>
      <c r="G320" t="s">
        <v>702</v>
      </c>
      <c r="H320" t="str">
        <f>VLOOKUP(B320,ColesStoreData!$B:$F,2,0)</f>
        <v>QLD</v>
      </c>
      <c r="I320">
        <f>VLOOKUP(B320,ColesStoreData!$B:$F,3,0)</f>
        <v>41466</v>
      </c>
      <c r="J320">
        <f>VLOOKUP(B320,ColesStoreData!$B:$F,5,0)</f>
        <v>2500</v>
      </c>
      <c r="K320">
        <f t="shared" si="10"/>
        <v>45</v>
      </c>
      <c r="L320" s="1">
        <f t="shared" si="11"/>
        <v>0.78947368421052633</v>
      </c>
    </row>
    <row r="321" spans="1:12" x14ac:dyDescent="0.2">
      <c r="A321">
        <v>361</v>
      </c>
      <c r="B321" t="s">
        <v>334</v>
      </c>
      <c r="C321">
        <v>34</v>
      </c>
      <c r="D321">
        <v>28</v>
      </c>
      <c r="E321">
        <v>7</v>
      </c>
      <c r="F321" t="s">
        <v>701</v>
      </c>
      <c r="G321" t="s">
        <v>700</v>
      </c>
      <c r="H321" t="str">
        <f>VLOOKUP(B321,ColesStoreData!$B:$F,2,0)</f>
        <v>VIC</v>
      </c>
      <c r="I321">
        <f>VLOOKUP(B321,ColesStoreData!$B:$F,3,0)</f>
        <v>8667</v>
      </c>
      <c r="J321">
        <f>VLOOKUP(B321,ColesStoreData!$B:$F,5,0)</f>
        <v>1700</v>
      </c>
      <c r="K321">
        <f t="shared" si="10"/>
        <v>21</v>
      </c>
      <c r="L321" s="1">
        <f t="shared" si="11"/>
        <v>0.75</v>
      </c>
    </row>
    <row r="322" spans="1:12" x14ac:dyDescent="0.2">
      <c r="A322">
        <v>362</v>
      </c>
      <c r="B322" t="s">
        <v>333</v>
      </c>
      <c r="C322">
        <v>44</v>
      </c>
      <c r="D322">
        <v>25</v>
      </c>
      <c r="E322">
        <v>7</v>
      </c>
      <c r="F322" t="s">
        <v>703</v>
      </c>
      <c r="G322" t="s">
        <v>700</v>
      </c>
      <c r="H322" t="str">
        <f>VLOOKUP(B322,ColesStoreData!$B:$F,2,0)</f>
        <v>WA</v>
      </c>
      <c r="I322">
        <f>VLOOKUP(B322,ColesStoreData!$B:$F,3,0)</f>
        <v>8195</v>
      </c>
      <c r="J322">
        <f>VLOOKUP(B322,ColesStoreData!$B:$F,5,0)</f>
        <v>1700</v>
      </c>
      <c r="K322">
        <f t="shared" si="10"/>
        <v>18</v>
      </c>
      <c r="L322" s="1">
        <f t="shared" si="11"/>
        <v>0.72</v>
      </c>
    </row>
    <row r="323" spans="1:12" x14ac:dyDescent="0.2">
      <c r="A323">
        <v>363</v>
      </c>
      <c r="B323" t="s">
        <v>332</v>
      </c>
      <c r="C323">
        <v>28</v>
      </c>
      <c r="D323">
        <v>50</v>
      </c>
      <c r="E323">
        <v>15</v>
      </c>
      <c r="F323" t="s">
        <v>701</v>
      </c>
      <c r="G323" t="s">
        <v>702</v>
      </c>
      <c r="H323" t="str">
        <f>VLOOKUP(B323,ColesStoreData!$B:$F,2,0)</f>
        <v>NSW</v>
      </c>
      <c r="I323">
        <f>VLOOKUP(B323,ColesStoreData!$B:$F,3,0)</f>
        <v>9297</v>
      </c>
      <c r="J323">
        <f>VLOOKUP(B323,ColesStoreData!$B:$F,5,0)</f>
        <v>1900</v>
      </c>
      <c r="K323">
        <f t="shared" si="10"/>
        <v>35</v>
      </c>
      <c r="L323" s="1">
        <f t="shared" si="11"/>
        <v>0.7</v>
      </c>
    </row>
    <row r="324" spans="1:12" x14ac:dyDescent="0.2">
      <c r="A324">
        <v>364</v>
      </c>
      <c r="B324" t="s">
        <v>331</v>
      </c>
      <c r="C324">
        <v>43</v>
      </c>
      <c r="D324">
        <v>49</v>
      </c>
      <c r="E324">
        <v>11</v>
      </c>
      <c r="F324" t="s">
        <v>701</v>
      </c>
      <c r="G324" t="s">
        <v>700</v>
      </c>
      <c r="H324" t="str">
        <f>VLOOKUP(B324,ColesStoreData!$B:$F,2,0)</f>
        <v>QLD</v>
      </c>
      <c r="I324">
        <f>VLOOKUP(B324,ColesStoreData!$B:$F,3,0)</f>
        <v>6080</v>
      </c>
      <c r="J324">
        <f>VLOOKUP(B324,ColesStoreData!$B:$F,5,0)</f>
        <v>1900</v>
      </c>
      <c r="K324">
        <f t="shared" si="10"/>
        <v>38</v>
      </c>
      <c r="L324" s="1">
        <f t="shared" si="11"/>
        <v>0.77551020408163263</v>
      </c>
    </row>
    <row r="325" spans="1:12" x14ac:dyDescent="0.2">
      <c r="A325">
        <v>365</v>
      </c>
      <c r="B325" t="s">
        <v>330</v>
      </c>
      <c r="C325">
        <v>48</v>
      </c>
      <c r="D325">
        <v>46</v>
      </c>
      <c r="E325">
        <v>7</v>
      </c>
      <c r="F325" t="s">
        <v>701</v>
      </c>
      <c r="G325" t="s">
        <v>700</v>
      </c>
      <c r="H325" t="str">
        <f>VLOOKUP(B325,ColesStoreData!$B:$F,2,0)</f>
        <v>SA</v>
      </c>
      <c r="I325">
        <f>VLOOKUP(B325,ColesStoreData!$B:$F,3,0)</f>
        <v>8930</v>
      </c>
      <c r="J325">
        <f>VLOOKUP(B325,ColesStoreData!$B:$F,5,0)</f>
        <v>1900</v>
      </c>
      <c r="K325">
        <f t="shared" si="10"/>
        <v>39</v>
      </c>
      <c r="L325" s="1">
        <f t="shared" si="11"/>
        <v>0.84782608695652173</v>
      </c>
    </row>
    <row r="326" spans="1:12" x14ac:dyDescent="0.2">
      <c r="A326">
        <v>366</v>
      </c>
      <c r="B326" t="s">
        <v>329</v>
      </c>
      <c r="C326">
        <v>35</v>
      </c>
      <c r="D326">
        <v>32</v>
      </c>
      <c r="E326">
        <v>7</v>
      </c>
      <c r="F326" t="s">
        <v>703</v>
      </c>
      <c r="G326" t="s">
        <v>700</v>
      </c>
      <c r="H326" t="str">
        <f>VLOOKUP(B326,ColesStoreData!$B:$F,2,0)</f>
        <v>VIC</v>
      </c>
      <c r="I326">
        <f>VLOOKUP(B326,ColesStoreData!$B:$F,3,0)</f>
        <v>9405</v>
      </c>
      <c r="J326">
        <f>VLOOKUP(B326,ColesStoreData!$B:$F,5,0)</f>
        <v>1700</v>
      </c>
      <c r="K326">
        <f t="shared" si="10"/>
        <v>25</v>
      </c>
      <c r="L326" s="1">
        <f t="shared" si="11"/>
        <v>0.78125</v>
      </c>
    </row>
    <row r="327" spans="1:12" x14ac:dyDescent="0.2">
      <c r="A327">
        <v>367</v>
      </c>
      <c r="B327" t="s">
        <v>328</v>
      </c>
      <c r="C327">
        <v>32</v>
      </c>
      <c r="D327">
        <v>34</v>
      </c>
      <c r="E327">
        <v>8</v>
      </c>
      <c r="F327" t="s">
        <v>703</v>
      </c>
      <c r="G327" t="s">
        <v>700</v>
      </c>
      <c r="H327" t="str">
        <f>VLOOKUP(B327,ColesStoreData!$B:$F,2,0)</f>
        <v>VIC</v>
      </c>
      <c r="I327">
        <f>VLOOKUP(B327,ColesStoreData!$B:$F,3,0)</f>
        <v>9959</v>
      </c>
      <c r="J327">
        <f>VLOOKUP(B327,ColesStoreData!$B:$F,5,0)</f>
        <v>1700</v>
      </c>
      <c r="K327">
        <f t="shared" si="10"/>
        <v>26</v>
      </c>
      <c r="L327" s="1">
        <f t="shared" si="11"/>
        <v>0.76470588235294112</v>
      </c>
    </row>
    <row r="328" spans="1:12" x14ac:dyDescent="0.2">
      <c r="A328">
        <v>368</v>
      </c>
      <c r="B328" t="s">
        <v>327</v>
      </c>
      <c r="C328">
        <v>50</v>
      </c>
      <c r="D328">
        <v>31</v>
      </c>
      <c r="E328">
        <v>8</v>
      </c>
      <c r="F328" t="s">
        <v>701</v>
      </c>
      <c r="G328" t="s">
        <v>700</v>
      </c>
      <c r="H328" t="str">
        <f>VLOOKUP(B328,ColesStoreData!$B:$F,2,0)</f>
        <v>TAS</v>
      </c>
      <c r="I328">
        <f>VLOOKUP(B328,ColesStoreData!$B:$F,3,0)</f>
        <v>8427</v>
      </c>
      <c r="J328">
        <f>VLOOKUP(B328,ColesStoreData!$B:$F,5,0)</f>
        <v>1700</v>
      </c>
      <c r="K328">
        <f t="shared" si="10"/>
        <v>23</v>
      </c>
      <c r="L328" s="1">
        <f t="shared" si="11"/>
        <v>0.74193548387096775</v>
      </c>
    </row>
    <row r="329" spans="1:12" x14ac:dyDescent="0.2">
      <c r="A329">
        <v>369</v>
      </c>
      <c r="B329" t="s">
        <v>326</v>
      </c>
      <c r="C329">
        <v>35</v>
      </c>
      <c r="D329">
        <v>41</v>
      </c>
      <c r="E329">
        <v>16</v>
      </c>
      <c r="F329" t="s">
        <v>701</v>
      </c>
      <c r="G329" t="s">
        <v>700</v>
      </c>
      <c r="H329" t="str">
        <f>VLOOKUP(B329,ColesStoreData!$B:$F,2,0)</f>
        <v>VIC</v>
      </c>
      <c r="I329">
        <f>VLOOKUP(B329,ColesStoreData!$B:$F,3,0)</f>
        <v>8523</v>
      </c>
      <c r="J329">
        <f>VLOOKUP(B329,ColesStoreData!$B:$F,5,0)</f>
        <v>1700</v>
      </c>
      <c r="K329">
        <f t="shared" si="10"/>
        <v>25</v>
      </c>
      <c r="L329" s="1">
        <f t="shared" si="11"/>
        <v>0.6097560975609756</v>
      </c>
    </row>
    <row r="330" spans="1:12" x14ac:dyDescent="0.2">
      <c r="A330">
        <v>370</v>
      </c>
      <c r="B330" t="s">
        <v>325</v>
      </c>
      <c r="C330">
        <v>31</v>
      </c>
      <c r="D330">
        <v>28</v>
      </c>
      <c r="E330">
        <v>4</v>
      </c>
      <c r="F330" t="s">
        <v>701</v>
      </c>
      <c r="G330" t="s">
        <v>700</v>
      </c>
      <c r="H330" t="str">
        <f>VLOOKUP(B330,ColesStoreData!$B:$F,2,0)</f>
        <v>VIC</v>
      </c>
      <c r="I330">
        <f>VLOOKUP(B330,ColesStoreData!$B:$F,3,0)</f>
        <v>6254</v>
      </c>
      <c r="J330">
        <f>VLOOKUP(B330,ColesStoreData!$B:$F,5,0)</f>
        <v>1700</v>
      </c>
      <c r="K330">
        <f t="shared" si="10"/>
        <v>24</v>
      </c>
      <c r="L330" s="1">
        <f t="shared" si="11"/>
        <v>0.8571428571428571</v>
      </c>
    </row>
    <row r="331" spans="1:12" x14ac:dyDescent="0.2">
      <c r="A331">
        <v>371</v>
      </c>
      <c r="B331" t="s">
        <v>324</v>
      </c>
      <c r="C331">
        <v>21</v>
      </c>
      <c r="D331">
        <v>46</v>
      </c>
      <c r="E331">
        <v>14</v>
      </c>
      <c r="F331" t="s">
        <v>703</v>
      </c>
      <c r="G331" t="s">
        <v>702</v>
      </c>
      <c r="H331" t="str">
        <f>VLOOKUP(B331,ColesStoreData!$B:$F,2,0)</f>
        <v>NSW</v>
      </c>
      <c r="I331">
        <f>VLOOKUP(B331,ColesStoreData!$B:$F,3,0)</f>
        <v>8370</v>
      </c>
      <c r="J331">
        <f>VLOOKUP(B331,ColesStoreData!$B:$F,5,0)</f>
        <v>1900</v>
      </c>
      <c r="K331">
        <f t="shared" si="10"/>
        <v>32</v>
      </c>
      <c r="L331" s="1">
        <f t="shared" si="11"/>
        <v>0.69565217391304346</v>
      </c>
    </row>
    <row r="332" spans="1:12" x14ac:dyDescent="0.2">
      <c r="A332">
        <v>372</v>
      </c>
      <c r="B332" t="s">
        <v>323</v>
      </c>
      <c r="C332">
        <v>32</v>
      </c>
      <c r="D332">
        <v>34</v>
      </c>
      <c r="E332">
        <v>8</v>
      </c>
      <c r="F332" t="s">
        <v>703</v>
      </c>
      <c r="G332" t="s">
        <v>700</v>
      </c>
      <c r="H332" t="str">
        <f>VLOOKUP(B332,ColesStoreData!$B:$F,2,0)</f>
        <v>VIC</v>
      </c>
      <c r="I332">
        <f>VLOOKUP(B332,ColesStoreData!$B:$F,3,0)</f>
        <v>8110</v>
      </c>
      <c r="J332">
        <f>VLOOKUP(B332,ColesStoreData!$B:$F,5,0)</f>
        <v>1700</v>
      </c>
      <c r="K332">
        <f t="shared" si="10"/>
        <v>26</v>
      </c>
      <c r="L332" s="1">
        <f t="shared" si="11"/>
        <v>0.76470588235294112</v>
      </c>
    </row>
    <row r="333" spans="1:12" x14ac:dyDescent="0.2">
      <c r="A333">
        <v>373</v>
      </c>
      <c r="B333" t="s">
        <v>322</v>
      </c>
      <c r="C333">
        <v>34</v>
      </c>
      <c r="D333">
        <v>58</v>
      </c>
      <c r="E333">
        <v>10</v>
      </c>
      <c r="F333" t="s">
        <v>703</v>
      </c>
      <c r="G333" t="s">
        <v>702</v>
      </c>
      <c r="H333" t="str">
        <f>VLOOKUP(B333,ColesStoreData!$B:$F,2,0)</f>
        <v>VIC</v>
      </c>
      <c r="I333">
        <f>VLOOKUP(B333,ColesStoreData!$B:$F,3,0)</f>
        <v>11967</v>
      </c>
      <c r="J333">
        <f>VLOOKUP(B333,ColesStoreData!$B:$F,5,0)</f>
        <v>2700</v>
      </c>
      <c r="K333">
        <f t="shared" si="10"/>
        <v>48</v>
      </c>
      <c r="L333" s="1">
        <f t="shared" si="11"/>
        <v>0.82758620689655171</v>
      </c>
    </row>
    <row r="334" spans="1:12" x14ac:dyDescent="0.2">
      <c r="A334">
        <v>374</v>
      </c>
      <c r="B334" t="s">
        <v>321</v>
      </c>
      <c r="C334">
        <v>24</v>
      </c>
      <c r="D334">
        <v>42</v>
      </c>
      <c r="E334">
        <v>14</v>
      </c>
      <c r="F334" t="s">
        <v>703</v>
      </c>
      <c r="G334" t="s">
        <v>702</v>
      </c>
      <c r="H334" t="str">
        <f>VLOOKUP(B334,ColesStoreData!$B:$F,2,0)</f>
        <v>NSW</v>
      </c>
      <c r="I334">
        <f>VLOOKUP(B334,ColesStoreData!$B:$F,3,0)</f>
        <v>8651</v>
      </c>
      <c r="J334">
        <f>VLOOKUP(B334,ColesStoreData!$B:$F,5,0)</f>
        <v>1700</v>
      </c>
      <c r="K334">
        <f t="shared" si="10"/>
        <v>28</v>
      </c>
      <c r="L334" s="1">
        <f t="shared" si="11"/>
        <v>0.66666666666666663</v>
      </c>
    </row>
    <row r="335" spans="1:12" x14ac:dyDescent="0.2">
      <c r="A335">
        <v>375</v>
      </c>
      <c r="B335" t="s">
        <v>320</v>
      </c>
      <c r="C335">
        <v>37</v>
      </c>
      <c r="D335">
        <v>53</v>
      </c>
      <c r="E335">
        <v>13</v>
      </c>
      <c r="F335" t="s">
        <v>703</v>
      </c>
      <c r="G335" t="s">
        <v>702</v>
      </c>
      <c r="H335" t="str">
        <f>VLOOKUP(B335,ColesStoreData!$B:$F,2,0)</f>
        <v>VIC</v>
      </c>
      <c r="I335">
        <f>VLOOKUP(B335,ColesStoreData!$B:$F,3,0)</f>
        <v>7441</v>
      </c>
      <c r="J335">
        <f>VLOOKUP(B335,ColesStoreData!$B:$F,5,0)</f>
        <v>1900</v>
      </c>
      <c r="K335">
        <f t="shared" si="10"/>
        <v>40</v>
      </c>
      <c r="L335" s="1">
        <f t="shared" si="11"/>
        <v>0.75471698113207553</v>
      </c>
    </row>
    <row r="336" spans="1:12" x14ac:dyDescent="0.2">
      <c r="A336">
        <v>376</v>
      </c>
      <c r="B336" t="s">
        <v>319</v>
      </c>
      <c r="C336">
        <v>21</v>
      </c>
      <c r="D336">
        <v>40</v>
      </c>
      <c r="E336">
        <v>13</v>
      </c>
      <c r="F336" t="s">
        <v>703</v>
      </c>
      <c r="G336" t="s">
        <v>702</v>
      </c>
      <c r="H336" t="str">
        <f>VLOOKUP(B336,ColesStoreData!$B:$F,2,0)</f>
        <v>NSW</v>
      </c>
      <c r="I336">
        <f>VLOOKUP(B336,ColesStoreData!$B:$F,3,0)</f>
        <v>9395</v>
      </c>
      <c r="J336">
        <f>VLOOKUP(B336,ColesStoreData!$B:$F,5,0)</f>
        <v>1700</v>
      </c>
      <c r="K336">
        <f t="shared" si="10"/>
        <v>27</v>
      </c>
      <c r="L336" s="1">
        <f t="shared" si="11"/>
        <v>0.67500000000000004</v>
      </c>
    </row>
    <row r="337" spans="1:12" x14ac:dyDescent="0.2">
      <c r="A337">
        <v>377</v>
      </c>
      <c r="B337" t="s">
        <v>318</v>
      </c>
      <c r="C337">
        <v>40</v>
      </c>
      <c r="D337">
        <v>60</v>
      </c>
      <c r="E337">
        <v>14</v>
      </c>
      <c r="F337" t="s">
        <v>703</v>
      </c>
      <c r="G337" t="s">
        <v>702</v>
      </c>
      <c r="H337" t="str">
        <f>VLOOKUP(B337,ColesStoreData!$B:$F,2,0)</f>
        <v>QLD</v>
      </c>
      <c r="I337">
        <f>VLOOKUP(B337,ColesStoreData!$B:$F,3,0)</f>
        <v>35842</v>
      </c>
      <c r="J337">
        <f>VLOOKUP(B337,ColesStoreData!$B:$F,5,0)</f>
        <v>2700</v>
      </c>
      <c r="K337">
        <f t="shared" si="10"/>
        <v>46</v>
      </c>
      <c r="L337" s="1">
        <f t="shared" si="11"/>
        <v>0.76666666666666672</v>
      </c>
    </row>
    <row r="338" spans="1:12" x14ac:dyDescent="0.2">
      <c r="A338">
        <v>378</v>
      </c>
      <c r="B338" t="s">
        <v>317</v>
      </c>
      <c r="C338">
        <v>36</v>
      </c>
      <c r="D338">
        <v>60</v>
      </c>
      <c r="E338">
        <v>8</v>
      </c>
      <c r="F338" t="s">
        <v>701</v>
      </c>
      <c r="G338" t="s">
        <v>702</v>
      </c>
      <c r="H338" t="str">
        <f>VLOOKUP(B338,ColesStoreData!$B:$F,2,0)</f>
        <v>VIC</v>
      </c>
      <c r="I338">
        <f>VLOOKUP(B338,ColesStoreData!$B:$F,3,0)</f>
        <v>27982</v>
      </c>
      <c r="J338">
        <f>VLOOKUP(B338,ColesStoreData!$B:$F,5,0)</f>
        <v>2700</v>
      </c>
      <c r="K338">
        <f t="shared" si="10"/>
        <v>52</v>
      </c>
      <c r="L338" s="1">
        <f t="shared" si="11"/>
        <v>0.8666666666666667</v>
      </c>
    </row>
    <row r="339" spans="1:12" x14ac:dyDescent="0.2">
      <c r="A339">
        <v>379</v>
      </c>
      <c r="B339" t="s">
        <v>316</v>
      </c>
      <c r="C339">
        <v>40</v>
      </c>
      <c r="D339">
        <v>36</v>
      </c>
      <c r="E339">
        <v>12</v>
      </c>
      <c r="F339" t="s">
        <v>703</v>
      </c>
      <c r="G339" t="s">
        <v>700</v>
      </c>
      <c r="H339" t="str">
        <f>VLOOKUP(B339,ColesStoreData!$B:$F,2,0)</f>
        <v>QLD</v>
      </c>
      <c r="I339">
        <f>VLOOKUP(B339,ColesStoreData!$B:$F,3,0)</f>
        <v>6793</v>
      </c>
      <c r="J339">
        <f>VLOOKUP(B339,ColesStoreData!$B:$F,5,0)</f>
        <v>1700</v>
      </c>
      <c r="K339">
        <f t="shared" si="10"/>
        <v>24</v>
      </c>
      <c r="L339" s="1">
        <f t="shared" si="11"/>
        <v>0.66666666666666663</v>
      </c>
    </row>
    <row r="340" spans="1:12" x14ac:dyDescent="0.2">
      <c r="A340">
        <v>380</v>
      </c>
      <c r="B340" t="s">
        <v>315</v>
      </c>
      <c r="C340">
        <v>44</v>
      </c>
      <c r="D340">
        <v>29</v>
      </c>
      <c r="E340">
        <v>13</v>
      </c>
      <c r="F340" t="s">
        <v>703</v>
      </c>
      <c r="G340" t="s">
        <v>700</v>
      </c>
      <c r="H340" t="str">
        <f>VLOOKUP(B340,ColesStoreData!$B:$F,2,0)</f>
        <v>WA</v>
      </c>
      <c r="I340">
        <f>VLOOKUP(B340,ColesStoreData!$B:$F,3,0)</f>
        <v>6633</v>
      </c>
      <c r="J340">
        <f>VLOOKUP(B340,ColesStoreData!$B:$F,5,0)</f>
        <v>1700</v>
      </c>
      <c r="K340">
        <f t="shared" si="10"/>
        <v>16</v>
      </c>
      <c r="L340" s="1">
        <f t="shared" si="11"/>
        <v>0.55172413793103448</v>
      </c>
    </row>
    <row r="341" spans="1:12" x14ac:dyDescent="0.2">
      <c r="A341">
        <v>381</v>
      </c>
      <c r="B341" t="s">
        <v>314</v>
      </c>
      <c r="C341">
        <v>21</v>
      </c>
      <c r="D341">
        <v>35</v>
      </c>
      <c r="E341">
        <v>13</v>
      </c>
      <c r="F341" t="s">
        <v>703</v>
      </c>
      <c r="G341" t="s">
        <v>702</v>
      </c>
      <c r="H341" t="str">
        <f>VLOOKUP(B341,ColesStoreData!$B:$F,2,0)</f>
        <v>NSW</v>
      </c>
      <c r="I341">
        <f>VLOOKUP(B341,ColesStoreData!$B:$F,3,0)</f>
        <v>6107</v>
      </c>
      <c r="J341">
        <f>VLOOKUP(B341,ColesStoreData!$B:$F,5,0)</f>
        <v>1700</v>
      </c>
      <c r="K341">
        <f t="shared" si="10"/>
        <v>22</v>
      </c>
      <c r="L341" s="1">
        <f t="shared" si="11"/>
        <v>0.62857142857142856</v>
      </c>
    </row>
    <row r="342" spans="1:12" x14ac:dyDescent="0.2">
      <c r="A342">
        <v>382</v>
      </c>
      <c r="B342" t="s">
        <v>313</v>
      </c>
      <c r="C342">
        <v>20</v>
      </c>
      <c r="D342">
        <v>59</v>
      </c>
      <c r="E342">
        <v>8</v>
      </c>
      <c r="F342" t="s">
        <v>703</v>
      </c>
      <c r="G342" t="s">
        <v>702</v>
      </c>
      <c r="H342" t="str">
        <f>VLOOKUP(B342,ColesStoreData!$B:$F,2,0)</f>
        <v>NSW</v>
      </c>
      <c r="I342">
        <f>VLOOKUP(B342,ColesStoreData!$B:$F,3,0)</f>
        <v>40204</v>
      </c>
      <c r="J342">
        <f>VLOOKUP(B342,ColesStoreData!$B:$F,5,0)</f>
        <v>2700</v>
      </c>
      <c r="K342">
        <f t="shared" si="10"/>
        <v>51</v>
      </c>
      <c r="L342" s="1">
        <f t="shared" si="11"/>
        <v>0.86440677966101698</v>
      </c>
    </row>
    <row r="343" spans="1:12" x14ac:dyDescent="0.2">
      <c r="A343">
        <v>383</v>
      </c>
      <c r="B343" t="s">
        <v>312</v>
      </c>
      <c r="C343">
        <v>37</v>
      </c>
      <c r="D343">
        <v>40</v>
      </c>
      <c r="E343">
        <v>9</v>
      </c>
      <c r="F343" t="s">
        <v>703</v>
      </c>
      <c r="G343" t="s">
        <v>700</v>
      </c>
      <c r="H343" t="str">
        <f>VLOOKUP(B343,ColesStoreData!$B:$F,2,0)</f>
        <v>QLD</v>
      </c>
      <c r="I343">
        <f>VLOOKUP(B343,ColesStoreData!$B:$F,3,0)</f>
        <v>8798</v>
      </c>
      <c r="J343">
        <f>VLOOKUP(B343,ColesStoreData!$B:$F,5,0)</f>
        <v>1700</v>
      </c>
      <c r="K343">
        <f t="shared" si="10"/>
        <v>31</v>
      </c>
      <c r="L343" s="1">
        <f t="shared" si="11"/>
        <v>0.77500000000000002</v>
      </c>
    </row>
    <row r="344" spans="1:12" x14ac:dyDescent="0.2">
      <c r="A344">
        <v>384</v>
      </c>
      <c r="B344" t="s">
        <v>311</v>
      </c>
      <c r="C344">
        <v>39</v>
      </c>
      <c r="D344">
        <v>55</v>
      </c>
      <c r="E344">
        <v>13</v>
      </c>
      <c r="F344" t="s">
        <v>701</v>
      </c>
      <c r="G344" t="s">
        <v>702</v>
      </c>
      <c r="H344" t="str">
        <f>VLOOKUP(B344,ColesStoreData!$B:$F,2,0)</f>
        <v>QLD</v>
      </c>
      <c r="I344">
        <f>VLOOKUP(B344,ColesStoreData!$B:$F,3,0)</f>
        <v>22047</v>
      </c>
      <c r="J344">
        <f>VLOOKUP(B344,ColesStoreData!$B:$F,5,0)</f>
        <v>2500</v>
      </c>
      <c r="K344">
        <f t="shared" si="10"/>
        <v>42</v>
      </c>
      <c r="L344" s="1">
        <f t="shared" si="11"/>
        <v>0.76363636363636367</v>
      </c>
    </row>
    <row r="345" spans="1:12" x14ac:dyDescent="0.2">
      <c r="A345">
        <v>386</v>
      </c>
      <c r="B345" t="s">
        <v>309</v>
      </c>
      <c r="C345">
        <v>26</v>
      </c>
      <c r="D345">
        <v>29</v>
      </c>
      <c r="E345">
        <v>17</v>
      </c>
      <c r="F345" t="s">
        <v>703</v>
      </c>
      <c r="G345" t="s">
        <v>700</v>
      </c>
      <c r="H345" t="str">
        <f>VLOOKUP(B345,ColesStoreData!$B:$F,2,0)</f>
        <v>NSW</v>
      </c>
      <c r="I345">
        <f>VLOOKUP(B345,ColesStoreData!$B:$F,3,0)</f>
        <v>8362</v>
      </c>
      <c r="J345">
        <f>VLOOKUP(B345,ColesStoreData!$B:$F,5,0)</f>
        <v>1700</v>
      </c>
      <c r="K345">
        <f t="shared" ref="K345:K396" si="12">D345-E345</f>
        <v>12</v>
      </c>
      <c r="L345" s="1">
        <f t="shared" si="11"/>
        <v>0.41379310344827586</v>
      </c>
    </row>
    <row r="346" spans="1:12" x14ac:dyDescent="0.2">
      <c r="A346">
        <v>387</v>
      </c>
      <c r="B346" t="s">
        <v>308</v>
      </c>
      <c r="C346">
        <v>28</v>
      </c>
      <c r="D346">
        <v>32</v>
      </c>
      <c r="E346">
        <v>16</v>
      </c>
      <c r="F346" t="s">
        <v>703</v>
      </c>
      <c r="G346" t="s">
        <v>700</v>
      </c>
      <c r="H346" t="str">
        <f>VLOOKUP(B346,ColesStoreData!$B:$F,2,0)</f>
        <v>NSW</v>
      </c>
      <c r="I346">
        <f>VLOOKUP(B346,ColesStoreData!$B:$F,3,0)</f>
        <v>7119</v>
      </c>
      <c r="J346">
        <f>VLOOKUP(B346,ColesStoreData!$B:$F,5,0)</f>
        <v>1700</v>
      </c>
      <c r="K346">
        <f t="shared" si="12"/>
        <v>16</v>
      </c>
      <c r="L346" s="1">
        <f t="shared" si="11"/>
        <v>0.5</v>
      </c>
    </row>
    <row r="347" spans="1:12" x14ac:dyDescent="0.2">
      <c r="A347">
        <v>388</v>
      </c>
      <c r="B347" t="s">
        <v>307</v>
      </c>
      <c r="C347">
        <v>30</v>
      </c>
      <c r="D347">
        <v>30</v>
      </c>
      <c r="E347">
        <v>7</v>
      </c>
      <c r="F347" t="s">
        <v>701</v>
      </c>
      <c r="G347" t="s">
        <v>700</v>
      </c>
      <c r="H347" t="str">
        <f>VLOOKUP(B347,ColesStoreData!$B:$F,2,0)</f>
        <v>VIC</v>
      </c>
      <c r="I347">
        <f>VLOOKUP(B347,ColesStoreData!$B:$F,3,0)</f>
        <v>7882</v>
      </c>
      <c r="J347">
        <f>VLOOKUP(B347,ColesStoreData!$B:$F,5,0)</f>
        <v>1700</v>
      </c>
      <c r="K347">
        <f t="shared" si="12"/>
        <v>23</v>
      </c>
      <c r="L347" s="1">
        <f t="shared" si="11"/>
        <v>0.76666666666666672</v>
      </c>
    </row>
    <row r="348" spans="1:12" x14ac:dyDescent="0.2">
      <c r="A348">
        <v>389</v>
      </c>
      <c r="B348" t="s">
        <v>306</v>
      </c>
      <c r="C348">
        <v>34</v>
      </c>
      <c r="D348">
        <v>29</v>
      </c>
      <c r="E348">
        <v>4</v>
      </c>
      <c r="F348" t="s">
        <v>701</v>
      </c>
      <c r="G348" t="s">
        <v>700</v>
      </c>
      <c r="H348" t="str">
        <f>VLOOKUP(B348,ColesStoreData!$B:$F,2,0)</f>
        <v>VIC</v>
      </c>
      <c r="I348">
        <f>VLOOKUP(B348,ColesStoreData!$B:$F,3,0)</f>
        <v>6433</v>
      </c>
      <c r="J348">
        <f>VLOOKUP(B348,ColesStoreData!$B:$F,5,0)</f>
        <v>1700</v>
      </c>
      <c r="K348">
        <f t="shared" si="12"/>
        <v>25</v>
      </c>
      <c r="L348" s="1">
        <f t="shared" si="11"/>
        <v>0.86206896551724133</v>
      </c>
    </row>
    <row r="349" spans="1:12" x14ac:dyDescent="0.2">
      <c r="A349">
        <v>390</v>
      </c>
      <c r="B349" t="s">
        <v>305</v>
      </c>
      <c r="C349">
        <v>39</v>
      </c>
      <c r="D349">
        <v>44</v>
      </c>
      <c r="E349">
        <v>8</v>
      </c>
      <c r="F349" t="s">
        <v>701</v>
      </c>
      <c r="G349" t="s">
        <v>700</v>
      </c>
      <c r="H349" t="str">
        <f>VLOOKUP(B349,ColesStoreData!$B:$F,2,0)</f>
        <v>QLD</v>
      </c>
      <c r="I349">
        <f>VLOOKUP(B349,ColesStoreData!$B:$F,3,0)</f>
        <v>9685</v>
      </c>
      <c r="J349">
        <f>VLOOKUP(B349,ColesStoreData!$B:$F,5,0)</f>
        <v>1700</v>
      </c>
      <c r="K349">
        <f t="shared" si="12"/>
        <v>36</v>
      </c>
      <c r="L349" s="1">
        <f t="shared" si="11"/>
        <v>0.81818181818181823</v>
      </c>
    </row>
    <row r="350" spans="1:12" x14ac:dyDescent="0.2">
      <c r="A350">
        <v>392</v>
      </c>
      <c r="B350" t="s">
        <v>303</v>
      </c>
      <c r="C350">
        <v>47</v>
      </c>
      <c r="D350">
        <v>34</v>
      </c>
      <c r="E350">
        <v>12</v>
      </c>
      <c r="F350" t="s">
        <v>701</v>
      </c>
      <c r="G350" t="s">
        <v>700</v>
      </c>
      <c r="H350" t="str">
        <f>VLOOKUP(B350,ColesStoreData!$B:$F,2,0)</f>
        <v>SA</v>
      </c>
      <c r="I350">
        <f>VLOOKUP(B350,ColesStoreData!$B:$F,3,0)</f>
        <v>8279</v>
      </c>
      <c r="J350">
        <f>VLOOKUP(B350,ColesStoreData!$B:$F,5,0)</f>
        <v>1700</v>
      </c>
      <c r="K350">
        <f t="shared" si="12"/>
        <v>22</v>
      </c>
      <c r="L350" s="1">
        <f t="shared" si="11"/>
        <v>0.6470588235294118</v>
      </c>
    </row>
    <row r="351" spans="1:12" x14ac:dyDescent="0.2">
      <c r="A351">
        <v>393</v>
      </c>
      <c r="B351" t="s">
        <v>302</v>
      </c>
      <c r="C351">
        <v>27</v>
      </c>
      <c r="D351">
        <v>32</v>
      </c>
      <c r="E351">
        <v>8</v>
      </c>
      <c r="F351" t="s">
        <v>703</v>
      </c>
      <c r="G351" t="s">
        <v>700</v>
      </c>
      <c r="H351" t="str">
        <f>VLOOKUP(B351,ColesStoreData!$B:$F,2,0)</f>
        <v>NSW</v>
      </c>
      <c r="I351">
        <f>VLOOKUP(B351,ColesStoreData!$B:$F,3,0)</f>
        <v>9555</v>
      </c>
      <c r="J351">
        <f>VLOOKUP(B351,ColesStoreData!$B:$F,5,0)</f>
        <v>1700</v>
      </c>
      <c r="K351">
        <f t="shared" si="12"/>
        <v>24</v>
      </c>
      <c r="L351" s="1">
        <f t="shared" si="11"/>
        <v>0.75</v>
      </c>
    </row>
    <row r="352" spans="1:12" x14ac:dyDescent="0.2">
      <c r="A352">
        <v>394</v>
      </c>
      <c r="B352" t="s">
        <v>301</v>
      </c>
      <c r="C352">
        <v>46</v>
      </c>
      <c r="D352">
        <v>41</v>
      </c>
      <c r="E352">
        <v>10</v>
      </c>
      <c r="F352" t="s">
        <v>701</v>
      </c>
      <c r="G352" t="s">
        <v>700</v>
      </c>
      <c r="H352" t="str">
        <f>VLOOKUP(B352,ColesStoreData!$B:$F,2,0)</f>
        <v>WA</v>
      </c>
      <c r="I352">
        <f>VLOOKUP(B352,ColesStoreData!$B:$F,3,0)</f>
        <v>6908</v>
      </c>
      <c r="J352">
        <f>VLOOKUP(B352,ColesStoreData!$B:$F,5,0)</f>
        <v>1700</v>
      </c>
      <c r="K352">
        <f t="shared" si="12"/>
        <v>31</v>
      </c>
      <c r="L352" s="1">
        <f t="shared" si="11"/>
        <v>0.75609756097560976</v>
      </c>
    </row>
    <row r="353" spans="1:12" x14ac:dyDescent="0.2">
      <c r="A353">
        <v>395</v>
      </c>
      <c r="B353" t="s">
        <v>300</v>
      </c>
      <c r="C353">
        <v>42</v>
      </c>
      <c r="D353">
        <v>49</v>
      </c>
      <c r="E353">
        <v>14</v>
      </c>
      <c r="F353" t="s">
        <v>701</v>
      </c>
      <c r="G353" t="s">
        <v>700</v>
      </c>
      <c r="H353" t="str">
        <f>VLOOKUP(B353,ColesStoreData!$B:$F,2,0)</f>
        <v>QLD</v>
      </c>
      <c r="I353">
        <f>VLOOKUP(B353,ColesStoreData!$B:$F,3,0)</f>
        <v>9122</v>
      </c>
      <c r="J353">
        <f>VLOOKUP(B353,ColesStoreData!$B:$F,5,0)</f>
        <v>1900</v>
      </c>
      <c r="K353">
        <f t="shared" si="12"/>
        <v>35</v>
      </c>
      <c r="L353" s="1">
        <f t="shared" si="11"/>
        <v>0.7142857142857143</v>
      </c>
    </row>
    <row r="354" spans="1:12" x14ac:dyDescent="0.2">
      <c r="A354">
        <v>396</v>
      </c>
      <c r="B354" t="s">
        <v>299</v>
      </c>
      <c r="C354">
        <v>43</v>
      </c>
      <c r="D354">
        <v>56</v>
      </c>
      <c r="E354">
        <v>9</v>
      </c>
      <c r="F354" t="s">
        <v>703</v>
      </c>
      <c r="G354" t="s">
        <v>702</v>
      </c>
      <c r="H354" t="str">
        <f>VLOOKUP(B354,ColesStoreData!$B:$F,2,0)</f>
        <v>QLD</v>
      </c>
      <c r="I354">
        <f>VLOOKUP(B354,ColesStoreData!$B:$F,3,0)</f>
        <v>35760</v>
      </c>
      <c r="J354">
        <f>VLOOKUP(B354,ColesStoreData!$B:$F,5,0)</f>
        <v>2500</v>
      </c>
      <c r="K354">
        <f t="shared" si="12"/>
        <v>47</v>
      </c>
      <c r="L354" s="1">
        <f t="shared" si="11"/>
        <v>0.8392857142857143</v>
      </c>
    </row>
    <row r="355" spans="1:12" x14ac:dyDescent="0.2">
      <c r="A355">
        <v>397</v>
      </c>
      <c r="B355" t="s">
        <v>298</v>
      </c>
      <c r="C355">
        <v>24</v>
      </c>
      <c r="D355">
        <v>59</v>
      </c>
      <c r="E355">
        <v>13</v>
      </c>
      <c r="F355" t="s">
        <v>703</v>
      </c>
      <c r="G355" t="s">
        <v>702</v>
      </c>
      <c r="H355" t="str">
        <f>VLOOKUP(B355,ColesStoreData!$B:$F,2,0)</f>
        <v>NSW</v>
      </c>
      <c r="I355">
        <f>VLOOKUP(B355,ColesStoreData!$B:$F,3,0)</f>
        <v>25777</v>
      </c>
      <c r="J355">
        <f>VLOOKUP(B355,ColesStoreData!$B:$F,5,0)</f>
        <v>2700</v>
      </c>
      <c r="K355">
        <f t="shared" si="12"/>
        <v>46</v>
      </c>
      <c r="L355" s="1">
        <f t="shared" si="11"/>
        <v>0.77966101694915257</v>
      </c>
    </row>
    <row r="356" spans="1:12" x14ac:dyDescent="0.2">
      <c r="A356">
        <v>398</v>
      </c>
      <c r="B356" t="s">
        <v>297</v>
      </c>
      <c r="C356">
        <v>42</v>
      </c>
      <c r="D356">
        <v>34</v>
      </c>
      <c r="E356">
        <v>10</v>
      </c>
      <c r="F356" t="s">
        <v>703</v>
      </c>
      <c r="G356" t="s">
        <v>700</v>
      </c>
      <c r="H356" t="str">
        <f>VLOOKUP(B356,ColesStoreData!$B:$F,2,0)</f>
        <v>QLD</v>
      </c>
      <c r="I356">
        <f>VLOOKUP(B356,ColesStoreData!$B:$F,3,0)</f>
        <v>8004</v>
      </c>
      <c r="J356">
        <f>VLOOKUP(B356,ColesStoreData!$B:$F,5,0)</f>
        <v>1700</v>
      </c>
      <c r="K356">
        <f t="shared" si="12"/>
        <v>24</v>
      </c>
      <c r="L356" s="1">
        <f t="shared" si="11"/>
        <v>0.70588235294117652</v>
      </c>
    </row>
    <row r="357" spans="1:12" x14ac:dyDescent="0.2">
      <c r="A357">
        <v>399</v>
      </c>
      <c r="B357" t="s">
        <v>296</v>
      </c>
      <c r="C357">
        <v>46</v>
      </c>
      <c r="D357">
        <v>42</v>
      </c>
      <c r="E357">
        <v>11</v>
      </c>
      <c r="F357" t="s">
        <v>701</v>
      </c>
      <c r="G357" t="s">
        <v>700</v>
      </c>
      <c r="H357" t="str">
        <f>VLOOKUP(B357,ColesStoreData!$B:$F,2,0)</f>
        <v>WA</v>
      </c>
      <c r="I357">
        <f>VLOOKUP(B357,ColesStoreData!$B:$F,3,0)</f>
        <v>6027</v>
      </c>
      <c r="J357">
        <f>VLOOKUP(B357,ColesStoreData!$B:$F,5,0)</f>
        <v>1700</v>
      </c>
      <c r="K357">
        <f t="shared" si="12"/>
        <v>31</v>
      </c>
      <c r="L357" s="1">
        <f t="shared" si="11"/>
        <v>0.73809523809523814</v>
      </c>
    </row>
    <row r="358" spans="1:12" x14ac:dyDescent="0.2">
      <c r="A358">
        <v>401</v>
      </c>
      <c r="B358" t="s">
        <v>294</v>
      </c>
      <c r="C358">
        <v>28</v>
      </c>
      <c r="D358">
        <v>35</v>
      </c>
      <c r="E358">
        <v>9</v>
      </c>
      <c r="F358" t="s">
        <v>701</v>
      </c>
      <c r="G358" t="s">
        <v>700</v>
      </c>
      <c r="H358" t="str">
        <f>VLOOKUP(B358,ColesStoreData!$B:$F,2,0)</f>
        <v>NSW</v>
      </c>
      <c r="I358">
        <f>VLOOKUP(B358,ColesStoreData!$B:$F,3,0)</f>
        <v>7453</v>
      </c>
      <c r="J358">
        <f>VLOOKUP(B358,ColesStoreData!$B:$F,5,0)</f>
        <v>1700</v>
      </c>
      <c r="K358">
        <f t="shared" si="12"/>
        <v>26</v>
      </c>
      <c r="L358" s="1">
        <f t="shared" si="11"/>
        <v>0.74285714285714288</v>
      </c>
    </row>
    <row r="359" spans="1:12" x14ac:dyDescent="0.2">
      <c r="A359">
        <v>402</v>
      </c>
      <c r="B359" t="s">
        <v>293</v>
      </c>
      <c r="C359">
        <v>44</v>
      </c>
      <c r="D359">
        <v>43</v>
      </c>
      <c r="E359">
        <v>10</v>
      </c>
      <c r="F359" t="s">
        <v>703</v>
      </c>
      <c r="G359" t="s">
        <v>700</v>
      </c>
      <c r="H359" t="str">
        <f>VLOOKUP(B359,ColesStoreData!$B:$F,2,0)</f>
        <v>WA</v>
      </c>
      <c r="I359">
        <f>VLOOKUP(B359,ColesStoreData!$B:$F,3,0)</f>
        <v>7006</v>
      </c>
      <c r="J359">
        <f>VLOOKUP(B359,ColesStoreData!$B:$F,5,0)</f>
        <v>1700</v>
      </c>
      <c r="K359">
        <f t="shared" si="12"/>
        <v>33</v>
      </c>
      <c r="L359" s="1">
        <f t="shared" si="11"/>
        <v>0.76744186046511631</v>
      </c>
    </row>
    <row r="360" spans="1:12" x14ac:dyDescent="0.2">
      <c r="A360">
        <v>403</v>
      </c>
      <c r="B360" t="s">
        <v>292</v>
      </c>
      <c r="C360">
        <v>46</v>
      </c>
      <c r="D360">
        <v>27</v>
      </c>
      <c r="E360">
        <v>10</v>
      </c>
      <c r="F360" t="s">
        <v>703</v>
      </c>
      <c r="G360" t="s">
        <v>700</v>
      </c>
      <c r="H360" t="str">
        <f>VLOOKUP(B360,ColesStoreData!$B:$F,2,0)</f>
        <v>WA</v>
      </c>
      <c r="I360">
        <f>VLOOKUP(B360,ColesStoreData!$B:$F,3,0)</f>
        <v>6951</v>
      </c>
      <c r="J360">
        <f>VLOOKUP(B360,ColesStoreData!$B:$F,5,0)</f>
        <v>1700</v>
      </c>
      <c r="K360">
        <f t="shared" si="12"/>
        <v>17</v>
      </c>
      <c r="L360" s="1">
        <f t="shared" si="11"/>
        <v>0.62962962962962965</v>
      </c>
    </row>
    <row r="361" spans="1:12" x14ac:dyDescent="0.2">
      <c r="A361">
        <v>404</v>
      </c>
      <c r="B361" t="s">
        <v>291</v>
      </c>
      <c r="C361">
        <v>26</v>
      </c>
      <c r="D361">
        <v>36</v>
      </c>
      <c r="E361">
        <v>8</v>
      </c>
      <c r="F361" t="s">
        <v>701</v>
      </c>
      <c r="G361" t="s">
        <v>702</v>
      </c>
      <c r="H361" t="str">
        <f>VLOOKUP(B361,ColesStoreData!$B:$F,2,0)</f>
        <v>NSW</v>
      </c>
      <c r="I361">
        <f>VLOOKUP(B361,ColesStoreData!$B:$F,3,0)</f>
        <v>9112</v>
      </c>
      <c r="J361">
        <f>VLOOKUP(B361,ColesStoreData!$B:$F,5,0)</f>
        <v>1700</v>
      </c>
      <c r="K361">
        <f t="shared" si="12"/>
        <v>28</v>
      </c>
      <c r="L361" s="1">
        <f t="shared" si="11"/>
        <v>0.77777777777777779</v>
      </c>
    </row>
    <row r="362" spans="1:12" x14ac:dyDescent="0.2">
      <c r="A362">
        <v>405</v>
      </c>
      <c r="B362" t="s">
        <v>290</v>
      </c>
      <c r="C362">
        <v>24</v>
      </c>
      <c r="D362">
        <v>55</v>
      </c>
      <c r="E362">
        <v>4</v>
      </c>
      <c r="F362" t="s">
        <v>703</v>
      </c>
      <c r="G362" t="s">
        <v>702</v>
      </c>
      <c r="H362" t="str">
        <f>VLOOKUP(B362,ColesStoreData!$B:$F,2,0)</f>
        <v>NSW</v>
      </c>
      <c r="I362">
        <f>VLOOKUP(B362,ColesStoreData!$B:$F,3,0)</f>
        <v>40855</v>
      </c>
      <c r="J362">
        <f>VLOOKUP(B362,ColesStoreData!$B:$F,5,0)</f>
        <v>2500</v>
      </c>
      <c r="K362">
        <f t="shared" si="12"/>
        <v>51</v>
      </c>
      <c r="L362" s="1">
        <f t="shared" si="11"/>
        <v>0.92727272727272725</v>
      </c>
    </row>
    <row r="363" spans="1:12" x14ac:dyDescent="0.2">
      <c r="A363">
        <v>406</v>
      </c>
      <c r="B363" t="s">
        <v>289</v>
      </c>
      <c r="C363">
        <v>47</v>
      </c>
      <c r="D363">
        <v>35</v>
      </c>
      <c r="E363">
        <v>6</v>
      </c>
      <c r="F363" t="s">
        <v>701</v>
      </c>
      <c r="G363" t="s">
        <v>700</v>
      </c>
      <c r="H363" t="str">
        <f>VLOOKUP(B363,ColesStoreData!$B:$F,2,0)</f>
        <v>SA</v>
      </c>
      <c r="I363">
        <f>VLOOKUP(B363,ColesStoreData!$B:$F,3,0)</f>
        <v>9977</v>
      </c>
      <c r="J363">
        <f>VLOOKUP(B363,ColesStoreData!$B:$F,5,0)</f>
        <v>1700</v>
      </c>
      <c r="K363">
        <f t="shared" si="12"/>
        <v>29</v>
      </c>
      <c r="L363" s="1">
        <f t="shared" si="11"/>
        <v>0.82857142857142863</v>
      </c>
    </row>
    <row r="364" spans="1:12" x14ac:dyDescent="0.2">
      <c r="A364">
        <v>407</v>
      </c>
      <c r="B364" t="s">
        <v>288</v>
      </c>
      <c r="C364">
        <v>36</v>
      </c>
      <c r="D364">
        <v>26</v>
      </c>
      <c r="E364">
        <v>12</v>
      </c>
      <c r="F364" t="s">
        <v>703</v>
      </c>
      <c r="G364" t="s">
        <v>700</v>
      </c>
      <c r="H364" t="str">
        <f>VLOOKUP(B364,ColesStoreData!$B:$F,2,0)</f>
        <v>VIC</v>
      </c>
      <c r="I364">
        <f>VLOOKUP(B364,ColesStoreData!$B:$F,3,0)</f>
        <v>7218</v>
      </c>
      <c r="J364">
        <f>VLOOKUP(B364,ColesStoreData!$B:$F,5,0)</f>
        <v>1700</v>
      </c>
      <c r="K364">
        <f t="shared" si="12"/>
        <v>14</v>
      </c>
      <c r="L364" s="1">
        <f t="shared" si="11"/>
        <v>0.53846153846153844</v>
      </c>
    </row>
    <row r="365" spans="1:12" x14ac:dyDescent="0.2">
      <c r="A365">
        <v>408</v>
      </c>
      <c r="B365" t="s">
        <v>287</v>
      </c>
      <c r="C365">
        <v>41</v>
      </c>
      <c r="D365">
        <v>40</v>
      </c>
      <c r="E365">
        <v>14</v>
      </c>
      <c r="F365" t="s">
        <v>703</v>
      </c>
      <c r="G365" t="s">
        <v>700</v>
      </c>
      <c r="H365" t="str">
        <f>VLOOKUP(B365,ColesStoreData!$B:$F,2,0)</f>
        <v>QLD</v>
      </c>
      <c r="I365">
        <f>VLOOKUP(B365,ColesStoreData!$B:$F,3,0)</f>
        <v>8345</v>
      </c>
      <c r="J365">
        <f>VLOOKUP(B365,ColesStoreData!$B:$F,5,0)</f>
        <v>1700</v>
      </c>
      <c r="K365">
        <f t="shared" si="12"/>
        <v>26</v>
      </c>
      <c r="L365" s="1">
        <f t="shared" si="11"/>
        <v>0.65</v>
      </c>
    </row>
    <row r="366" spans="1:12" x14ac:dyDescent="0.2">
      <c r="A366">
        <v>409</v>
      </c>
      <c r="B366" t="s">
        <v>286</v>
      </c>
      <c r="C366">
        <v>20</v>
      </c>
      <c r="D366">
        <v>55</v>
      </c>
      <c r="E366">
        <v>5</v>
      </c>
      <c r="F366" t="s">
        <v>701</v>
      </c>
      <c r="G366" t="s">
        <v>702</v>
      </c>
      <c r="H366" t="str">
        <f>VLOOKUP(B366,ColesStoreData!$B:$F,2,0)</f>
        <v>NSW</v>
      </c>
      <c r="I366">
        <f>VLOOKUP(B366,ColesStoreData!$B:$F,3,0)</f>
        <v>46321</v>
      </c>
      <c r="J366">
        <f>VLOOKUP(B366,ColesStoreData!$B:$F,5,0)</f>
        <v>2500</v>
      </c>
      <c r="K366">
        <f t="shared" si="12"/>
        <v>50</v>
      </c>
      <c r="L366" s="1">
        <f t="shared" si="11"/>
        <v>0.90909090909090906</v>
      </c>
    </row>
    <row r="367" spans="1:12" x14ac:dyDescent="0.2">
      <c r="A367">
        <v>410</v>
      </c>
      <c r="B367" t="s">
        <v>285</v>
      </c>
      <c r="C367">
        <v>33</v>
      </c>
      <c r="D367">
        <v>28</v>
      </c>
      <c r="E367">
        <v>9</v>
      </c>
      <c r="F367" t="s">
        <v>703</v>
      </c>
      <c r="G367" t="s">
        <v>700</v>
      </c>
      <c r="H367" t="str">
        <f>VLOOKUP(B367,ColesStoreData!$B:$F,2,0)</f>
        <v>VIC</v>
      </c>
      <c r="I367">
        <f>VLOOKUP(B367,ColesStoreData!$B:$F,3,0)</f>
        <v>8751</v>
      </c>
      <c r="J367">
        <f>VLOOKUP(B367,ColesStoreData!$B:$F,5,0)</f>
        <v>1700</v>
      </c>
      <c r="K367">
        <f t="shared" si="12"/>
        <v>19</v>
      </c>
      <c r="L367" s="1">
        <f t="shared" si="11"/>
        <v>0.6785714285714286</v>
      </c>
    </row>
    <row r="368" spans="1:12" x14ac:dyDescent="0.2">
      <c r="A368">
        <v>412</v>
      </c>
      <c r="B368" t="s">
        <v>283</v>
      </c>
      <c r="C368">
        <v>25</v>
      </c>
      <c r="D368">
        <v>34</v>
      </c>
      <c r="E368">
        <v>10</v>
      </c>
      <c r="F368" t="s">
        <v>701</v>
      </c>
      <c r="G368" t="s">
        <v>700</v>
      </c>
      <c r="H368" t="str">
        <f>VLOOKUP(B368,ColesStoreData!$B:$F,2,0)</f>
        <v>NSW</v>
      </c>
      <c r="I368">
        <f>VLOOKUP(B368,ColesStoreData!$B:$F,3,0)</f>
        <v>7375</v>
      </c>
      <c r="J368">
        <f>VLOOKUP(B368,ColesStoreData!$B:$F,5,0)</f>
        <v>1700</v>
      </c>
      <c r="K368">
        <f t="shared" si="12"/>
        <v>24</v>
      </c>
      <c r="L368" s="1">
        <f t="shared" si="11"/>
        <v>0.70588235294117652</v>
      </c>
    </row>
    <row r="369" spans="1:12" x14ac:dyDescent="0.2">
      <c r="A369">
        <v>413</v>
      </c>
      <c r="B369" t="s">
        <v>282</v>
      </c>
      <c r="C369">
        <v>28</v>
      </c>
      <c r="D369">
        <v>54</v>
      </c>
      <c r="E369">
        <v>7</v>
      </c>
      <c r="F369" t="s">
        <v>703</v>
      </c>
      <c r="G369" t="s">
        <v>702</v>
      </c>
      <c r="H369" t="str">
        <f>VLOOKUP(B369,ColesStoreData!$B:$F,2,0)</f>
        <v>NSW</v>
      </c>
      <c r="I369">
        <f>VLOOKUP(B369,ColesStoreData!$B:$F,3,0)</f>
        <v>55743</v>
      </c>
      <c r="J369">
        <f>VLOOKUP(B369,ColesStoreData!$B:$F,5,0)</f>
        <v>2500</v>
      </c>
      <c r="K369">
        <f t="shared" si="12"/>
        <v>47</v>
      </c>
      <c r="L369" s="1">
        <f t="shared" si="11"/>
        <v>0.87037037037037035</v>
      </c>
    </row>
    <row r="370" spans="1:12" x14ac:dyDescent="0.2">
      <c r="A370">
        <v>414</v>
      </c>
      <c r="B370" t="s">
        <v>281</v>
      </c>
      <c r="C370">
        <v>27</v>
      </c>
      <c r="D370">
        <v>36</v>
      </c>
      <c r="E370">
        <v>4</v>
      </c>
      <c r="F370" t="s">
        <v>701</v>
      </c>
      <c r="G370" t="s">
        <v>702</v>
      </c>
      <c r="H370" t="str">
        <f>VLOOKUP(B370,ColesStoreData!$B:$F,2,0)</f>
        <v>NSW</v>
      </c>
      <c r="I370">
        <f>VLOOKUP(B370,ColesStoreData!$B:$F,3,0)</f>
        <v>7210</v>
      </c>
      <c r="J370">
        <f>VLOOKUP(B370,ColesStoreData!$B:$F,5,0)</f>
        <v>1700</v>
      </c>
      <c r="K370">
        <f t="shared" si="12"/>
        <v>32</v>
      </c>
      <c r="L370" s="1">
        <f t="shared" si="11"/>
        <v>0.88888888888888884</v>
      </c>
    </row>
    <row r="371" spans="1:12" x14ac:dyDescent="0.2">
      <c r="A371">
        <v>415</v>
      </c>
      <c r="B371" t="s">
        <v>280</v>
      </c>
      <c r="C371">
        <v>22</v>
      </c>
      <c r="D371">
        <v>31</v>
      </c>
      <c r="E371">
        <v>13</v>
      </c>
      <c r="F371" t="s">
        <v>703</v>
      </c>
      <c r="G371" t="s">
        <v>700</v>
      </c>
      <c r="H371" t="str">
        <f>VLOOKUP(B371,ColesStoreData!$B:$F,2,0)</f>
        <v>NSW</v>
      </c>
      <c r="I371">
        <f>VLOOKUP(B371,ColesStoreData!$B:$F,3,0)</f>
        <v>6900</v>
      </c>
      <c r="J371">
        <f>VLOOKUP(B371,ColesStoreData!$B:$F,5,0)</f>
        <v>1700</v>
      </c>
      <c r="K371">
        <f t="shared" si="12"/>
        <v>18</v>
      </c>
      <c r="L371" s="1">
        <f t="shared" si="11"/>
        <v>0.58064516129032262</v>
      </c>
    </row>
    <row r="372" spans="1:12" x14ac:dyDescent="0.2">
      <c r="A372">
        <v>417</v>
      </c>
      <c r="B372" t="s">
        <v>278</v>
      </c>
      <c r="C372">
        <v>49</v>
      </c>
      <c r="D372">
        <v>55</v>
      </c>
      <c r="E372">
        <v>15</v>
      </c>
      <c r="F372" t="s">
        <v>701</v>
      </c>
      <c r="G372" t="s">
        <v>700</v>
      </c>
      <c r="H372" t="str">
        <f>VLOOKUP(B372,ColesStoreData!$B:$F,2,0)</f>
        <v>TAS</v>
      </c>
      <c r="I372">
        <f>VLOOKUP(B372,ColesStoreData!$B:$F,3,0)</f>
        <v>30166</v>
      </c>
      <c r="J372">
        <f>VLOOKUP(B372,ColesStoreData!$B:$F,5,0)</f>
        <v>2500</v>
      </c>
      <c r="K372">
        <f t="shared" si="12"/>
        <v>40</v>
      </c>
      <c r="L372" s="1">
        <f t="shared" si="11"/>
        <v>0.72727272727272729</v>
      </c>
    </row>
    <row r="373" spans="1:12" x14ac:dyDescent="0.2">
      <c r="A373">
        <v>422</v>
      </c>
      <c r="B373" t="s">
        <v>273</v>
      </c>
      <c r="C373">
        <v>22</v>
      </c>
      <c r="D373">
        <v>33</v>
      </c>
      <c r="E373">
        <v>8</v>
      </c>
      <c r="F373" t="s">
        <v>701</v>
      </c>
      <c r="G373" t="s">
        <v>702</v>
      </c>
      <c r="H373" t="str">
        <f>VLOOKUP(B373,ColesStoreData!$B:$F,2,0)</f>
        <v>NSW</v>
      </c>
      <c r="I373">
        <f>VLOOKUP(B373,ColesStoreData!$B:$F,3,0)</f>
        <v>6064</v>
      </c>
      <c r="J373">
        <f>VLOOKUP(B373,ColesStoreData!$B:$F,5,0)</f>
        <v>1700</v>
      </c>
      <c r="K373">
        <f t="shared" si="12"/>
        <v>25</v>
      </c>
      <c r="L373" s="1">
        <f t="shared" si="11"/>
        <v>0.75757575757575757</v>
      </c>
    </row>
    <row r="374" spans="1:12" x14ac:dyDescent="0.2">
      <c r="A374">
        <v>423</v>
      </c>
      <c r="B374" t="s">
        <v>272</v>
      </c>
      <c r="C374">
        <v>46</v>
      </c>
      <c r="D374">
        <v>26</v>
      </c>
      <c r="E374">
        <v>12</v>
      </c>
      <c r="F374" t="s">
        <v>703</v>
      </c>
      <c r="G374" t="s">
        <v>700</v>
      </c>
      <c r="H374" t="str">
        <f>VLOOKUP(B374,ColesStoreData!$B:$F,2,0)</f>
        <v>WA</v>
      </c>
      <c r="I374">
        <f>VLOOKUP(B374,ColesStoreData!$B:$F,3,0)</f>
        <v>9719</v>
      </c>
      <c r="J374">
        <f>VLOOKUP(B374,ColesStoreData!$B:$F,5,0)</f>
        <v>1700</v>
      </c>
      <c r="K374">
        <f t="shared" si="12"/>
        <v>14</v>
      </c>
      <c r="L374" s="1">
        <f t="shared" si="11"/>
        <v>0.53846153846153844</v>
      </c>
    </row>
    <row r="375" spans="1:12" x14ac:dyDescent="0.2">
      <c r="A375">
        <v>424</v>
      </c>
      <c r="B375" t="s">
        <v>271</v>
      </c>
      <c r="C375">
        <v>36</v>
      </c>
      <c r="D375">
        <v>52</v>
      </c>
      <c r="E375">
        <v>12</v>
      </c>
      <c r="F375" t="s">
        <v>701</v>
      </c>
      <c r="G375" t="s">
        <v>702</v>
      </c>
      <c r="H375" t="str">
        <f>VLOOKUP(B375,ColesStoreData!$B:$F,2,0)</f>
        <v>VIC</v>
      </c>
      <c r="I375">
        <f>VLOOKUP(B375,ColesStoreData!$B:$F,3,0)</f>
        <v>6332</v>
      </c>
      <c r="J375">
        <f>VLOOKUP(B375,ColesStoreData!$B:$F,5,0)</f>
        <v>1900</v>
      </c>
      <c r="K375">
        <f t="shared" si="12"/>
        <v>40</v>
      </c>
      <c r="L375" s="1">
        <f t="shared" si="11"/>
        <v>0.76923076923076927</v>
      </c>
    </row>
    <row r="376" spans="1:12" x14ac:dyDescent="0.2">
      <c r="A376">
        <v>425</v>
      </c>
      <c r="B376" t="s">
        <v>270</v>
      </c>
      <c r="C376">
        <v>30</v>
      </c>
      <c r="D376">
        <v>59</v>
      </c>
      <c r="E376">
        <v>12</v>
      </c>
      <c r="F376" t="s">
        <v>703</v>
      </c>
      <c r="G376" t="s">
        <v>702</v>
      </c>
      <c r="H376" t="str">
        <f>VLOOKUP(B376,ColesStoreData!$B:$F,2,0)</f>
        <v>VIC</v>
      </c>
      <c r="I376">
        <f>VLOOKUP(B376,ColesStoreData!$B:$F,3,0)</f>
        <v>22154</v>
      </c>
      <c r="J376">
        <f>VLOOKUP(B376,ColesStoreData!$B:$F,5,0)</f>
        <v>2700</v>
      </c>
      <c r="K376">
        <f t="shared" si="12"/>
        <v>47</v>
      </c>
      <c r="L376" s="1">
        <f t="shared" si="11"/>
        <v>0.79661016949152541</v>
      </c>
    </row>
    <row r="377" spans="1:12" x14ac:dyDescent="0.2">
      <c r="A377">
        <v>426</v>
      </c>
      <c r="B377" t="s">
        <v>269</v>
      </c>
      <c r="C377">
        <v>25</v>
      </c>
      <c r="D377">
        <v>52</v>
      </c>
      <c r="E377">
        <v>10</v>
      </c>
      <c r="F377" t="s">
        <v>703</v>
      </c>
      <c r="G377" t="s">
        <v>702</v>
      </c>
      <c r="H377" t="str">
        <f>VLOOKUP(B377,ColesStoreData!$B:$F,2,0)</f>
        <v>NSW</v>
      </c>
      <c r="I377">
        <f>VLOOKUP(B377,ColesStoreData!$B:$F,3,0)</f>
        <v>7744</v>
      </c>
      <c r="J377">
        <f>VLOOKUP(B377,ColesStoreData!$B:$F,5,0)</f>
        <v>1900</v>
      </c>
      <c r="K377">
        <f t="shared" si="12"/>
        <v>42</v>
      </c>
      <c r="L377" s="1">
        <f t="shared" si="11"/>
        <v>0.80769230769230771</v>
      </c>
    </row>
    <row r="378" spans="1:12" x14ac:dyDescent="0.2">
      <c r="A378">
        <v>427</v>
      </c>
      <c r="B378" t="s">
        <v>268</v>
      </c>
      <c r="C378">
        <v>46</v>
      </c>
      <c r="D378">
        <v>39</v>
      </c>
      <c r="E378">
        <v>12</v>
      </c>
      <c r="F378" t="s">
        <v>701</v>
      </c>
      <c r="G378" t="s">
        <v>700</v>
      </c>
      <c r="H378" t="str">
        <f>VLOOKUP(B378,ColesStoreData!$B:$F,2,0)</f>
        <v>WA</v>
      </c>
      <c r="I378">
        <f>VLOOKUP(B378,ColesStoreData!$B:$F,3,0)</f>
        <v>8629</v>
      </c>
      <c r="J378">
        <f>VLOOKUP(B378,ColesStoreData!$B:$F,5,0)</f>
        <v>1700</v>
      </c>
      <c r="K378">
        <f t="shared" si="12"/>
        <v>27</v>
      </c>
      <c r="L378" s="1">
        <f t="shared" si="11"/>
        <v>0.69230769230769229</v>
      </c>
    </row>
    <row r="379" spans="1:12" x14ac:dyDescent="0.2">
      <c r="A379">
        <v>428</v>
      </c>
      <c r="B379" t="s">
        <v>267</v>
      </c>
      <c r="C379">
        <v>26</v>
      </c>
      <c r="D379">
        <v>39</v>
      </c>
      <c r="E379">
        <v>10</v>
      </c>
      <c r="F379" t="s">
        <v>703</v>
      </c>
      <c r="G379" t="s">
        <v>702</v>
      </c>
      <c r="H379" t="str">
        <f>VLOOKUP(B379,ColesStoreData!$B:$F,2,0)</f>
        <v>NSW</v>
      </c>
      <c r="I379">
        <f>VLOOKUP(B379,ColesStoreData!$B:$F,3,0)</f>
        <v>8324</v>
      </c>
      <c r="J379">
        <f>VLOOKUP(B379,ColesStoreData!$B:$F,5,0)</f>
        <v>1700</v>
      </c>
      <c r="K379">
        <f t="shared" si="12"/>
        <v>29</v>
      </c>
      <c r="L379" s="1">
        <f t="shared" ref="L379:L441" si="13">K379/D379</f>
        <v>0.74358974358974361</v>
      </c>
    </row>
    <row r="380" spans="1:12" x14ac:dyDescent="0.2">
      <c r="A380">
        <v>429</v>
      </c>
      <c r="B380" t="s">
        <v>266</v>
      </c>
      <c r="C380">
        <v>44</v>
      </c>
      <c r="D380">
        <v>29</v>
      </c>
      <c r="E380">
        <v>11</v>
      </c>
      <c r="F380" t="s">
        <v>703</v>
      </c>
      <c r="G380" t="s">
        <v>700</v>
      </c>
      <c r="H380" t="str">
        <f>VLOOKUP(B380,ColesStoreData!$B:$F,2,0)</f>
        <v>WA</v>
      </c>
      <c r="I380">
        <f>VLOOKUP(B380,ColesStoreData!$B:$F,3,0)</f>
        <v>9558</v>
      </c>
      <c r="J380">
        <f>VLOOKUP(B380,ColesStoreData!$B:$F,5,0)</f>
        <v>1700</v>
      </c>
      <c r="K380">
        <f t="shared" si="12"/>
        <v>18</v>
      </c>
      <c r="L380" s="1">
        <f t="shared" si="13"/>
        <v>0.62068965517241381</v>
      </c>
    </row>
    <row r="381" spans="1:12" x14ac:dyDescent="0.2">
      <c r="A381">
        <v>431</v>
      </c>
      <c r="B381" t="s">
        <v>264</v>
      </c>
      <c r="C381">
        <v>29</v>
      </c>
      <c r="D381">
        <v>51</v>
      </c>
      <c r="E381">
        <v>12</v>
      </c>
      <c r="F381" t="s">
        <v>703</v>
      </c>
      <c r="G381" t="s">
        <v>702</v>
      </c>
      <c r="H381" t="str">
        <f>VLOOKUP(B381,ColesStoreData!$B:$F,2,0)</f>
        <v>VIC</v>
      </c>
      <c r="I381">
        <f>VLOOKUP(B381,ColesStoreData!$B:$F,3,0)</f>
        <v>7416</v>
      </c>
      <c r="J381">
        <f>VLOOKUP(B381,ColesStoreData!$B:$F,5,0)</f>
        <v>1900</v>
      </c>
      <c r="K381">
        <f t="shared" si="12"/>
        <v>39</v>
      </c>
      <c r="L381" s="1">
        <f t="shared" si="13"/>
        <v>0.76470588235294112</v>
      </c>
    </row>
    <row r="382" spans="1:12" x14ac:dyDescent="0.2">
      <c r="A382">
        <v>432</v>
      </c>
      <c r="B382" t="s">
        <v>263</v>
      </c>
      <c r="C382">
        <v>42</v>
      </c>
      <c r="D382">
        <v>47</v>
      </c>
      <c r="E382">
        <v>11</v>
      </c>
      <c r="F382" t="s">
        <v>703</v>
      </c>
      <c r="G382" t="s">
        <v>700</v>
      </c>
      <c r="H382" t="str">
        <f>VLOOKUP(B382,ColesStoreData!$B:$F,2,0)</f>
        <v>QLD</v>
      </c>
      <c r="I382">
        <f>VLOOKUP(B382,ColesStoreData!$B:$F,3,0)</f>
        <v>6822</v>
      </c>
      <c r="J382">
        <f>VLOOKUP(B382,ColesStoreData!$B:$F,5,0)</f>
        <v>1900</v>
      </c>
      <c r="K382">
        <f t="shared" si="12"/>
        <v>36</v>
      </c>
      <c r="L382" s="1">
        <f t="shared" si="13"/>
        <v>0.76595744680851063</v>
      </c>
    </row>
    <row r="383" spans="1:12" x14ac:dyDescent="0.2">
      <c r="A383">
        <v>433</v>
      </c>
      <c r="B383" t="s">
        <v>262</v>
      </c>
      <c r="C383">
        <v>40</v>
      </c>
      <c r="D383">
        <v>58</v>
      </c>
      <c r="E383">
        <v>10</v>
      </c>
      <c r="F383" t="s">
        <v>701</v>
      </c>
      <c r="G383" t="s">
        <v>702</v>
      </c>
      <c r="H383" t="str">
        <f>VLOOKUP(B383,ColesStoreData!$B:$F,2,0)</f>
        <v>QLD</v>
      </c>
      <c r="I383">
        <f>VLOOKUP(B383,ColesStoreData!$B:$F,3,0)</f>
        <v>15462</v>
      </c>
      <c r="J383">
        <f>VLOOKUP(B383,ColesStoreData!$B:$F,5,0)</f>
        <v>2700</v>
      </c>
      <c r="K383">
        <f t="shared" si="12"/>
        <v>48</v>
      </c>
      <c r="L383" s="1">
        <f t="shared" si="13"/>
        <v>0.82758620689655171</v>
      </c>
    </row>
    <row r="384" spans="1:12" x14ac:dyDescent="0.2">
      <c r="A384">
        <v>434</v>
      </c>
      <c r="B384" t="s">
        <v>261</v>
      </c>
      <c r="C384">
        <v>36</v>
      </c>
      <c r="D384">
        <v>42</v>
      </c>
      <c r="E384">
        <v>11</v>
      </c>
      <c r="F384" t="s">
        <v>701</v>
      </c>
      <c r="G384" t="s">
        <v>700</v>
      </c>
      <c r="H384" t="str">
        <f>VLOOKUP(B384,ColesStoreData!$B:$F,2,0)</f>
        <v>VIC</v>
      </c>
      <c r="I384">
        <f>VLOOKUP(B384,ColesStoreData!$B:$F,3,0)</f>
        <v>8013</v>
      </c>
      <c r="J384">
        <f>VLOOKUP(B384,ColesStoreData!$B:$F,5,0)</f>
        <v>1700</v>
      </c>
      <c r="K384">
        <f t="shared" si="12"/>
        <v>31</v>
      </c>
      <c r="L384" s="1">
        <f t="shared" si="13"/>
        <v>0.73809523809523814</v>
      </c>
    </row>
    <row r="385" spans="1:12" x14ac:dyDescent="0.2">
      <c r="A385">
        <v>435</v>
      </c>
      <c r="B385" t="s">
        <v>260</v>
      </c>
      <c r="C385">
        <v>31</v>
      </c>
      <c r="D385">
        <v>41</v>
      </c>
      <c r="E385">
        <v>11</v>
      </c>
      <c r="F385" t="s">
        <v>701</v>
      </c>
      <c r="G385" t="s">
        <v>700</v>
      </c>
      <c r="H385" t="str">
        <f>VLOOKUP(B385,ColesStoreData!$B:$F,2,0)</f>
        <v>VIC</v>
      </c>
      <c r="I385">
        <f>VLOOKUP(B385,ColesStoreData!$B:$F,3,0)</f>
        <v>9427</v>
      </c>
      <c r="J385">
        <f>VLOOKUP(B385,ColesStoreData!$B:$F,5,0)</f>
        <v>1700</v>
      </c>
      <c r="K385">
        <f t="shared" si="12"/>
        <v>30</v>
      </c>
      <c r="L385" s="1">
        <f t="shared" si="13"/>
        <v>0.73170731707317072</v>
      </c>
    </row>
    <row r="386" spans="1:12" x14ac:dyDescent="0.2">
      <c r="A386">
        <v>436</v>
      </c>
      <c r="B386" t="s">
        <v>259</v>
      </c>
      <c r="C386">
        <v>32</v>
      </c>
      <c r="D386">
        <v>60</v>
      </c>
      <c r="E386">
        <v>11</v>
      </c>
      <c r="F386" t="s">
        <v>703</v>
      </c>
      <c r="G386" t="s">
        <v>702</v>
      </c>
      <c r="H386" t="str">
        <f>VLOOKUP(B386,ColesStoreData!$B:$F,2,0)</f>
        <v>VIC</v>
      </c>
      <c r="I386">
        <f>VLOOKUP(B386,ColesStoreData!$B:$F,3,0)</f>
        <v>35080</v>
      </c>
      <c r="J386">
        <f>VLOOKUP(B386,ColesStoreData!$B:$F,5,0)</f>
        <v>2700</v>
      </c>
      <c r="K386">
        <f t="shared" si="12"/>
        <v>49</v>
      </c>
      <c r="L386" s="1">
        <f t="shared" si="13"/>
        <v>0.81666666666666665</v>
      </c>
    </row>
    <row r="387" spans="1:12" x14ac:dyDescent="0.2">
      <c r="A387">
        <v>437</v>
      </c>
      <c r="B387" t="s">
        <v>258</v>
      </c>
      <c r="C387">
        <v>27</v>
      </c>
      <c r="D387">
        <v>59</v>
      </c>
      <c r="E387">
        <v>12</v>
      </c>
      <c r="F387" t="s">
        <v>703</v>
      </c>
      <c r="G387" t="s">
        <v>702</v>
      </c>
      <c r="H387" t="str">
        <f>VLOOKUP(B387,ColesStoreData!$B:$F,2,0)</f>
        <v>NSW</v>
      </c>
      <c r="I387">
        <f>VLOOKUP(B387,ColesStoreData!$B:$F,3,0)</f>
        <v>37192</v>
      </c>
      <c r="J387">
        <f>VLOOKUP(B387,ColesStoreData!$B:$F,5,0)</f>
        <v>2700</v>
      </c>
      <c r="K387">
        <f t="shared" si="12"/>
        <v>47</v>
      </c>
      <c r="L387" s="1">
        <f t="shared" si="13"/>
        <v>0.79661016949152541</v>
      </c>
    </row>
    <row r="388" spans="1:12" x14ac:dyDescent="0.2">
      <c r="A388">
        <v>438</v>
      </c>
      <c r="B388" t="s">
        <v>257</v>
      </c>
      <c r="C388">
        <v>23</v>
      </c>
      <c r="D388">
        <v>32</v>
      </c>
      <c r="E388">
        <v>8</v>
      </c>
      <c r="F388" t="s">
        <v>703</v>
      </c>
      <c r="G388" t="s">
        <v>702</v>
      </c>
      <c r="H388" t="str">
        <f>VLOOKUP(B388,ColesStoreData!$B:$F,2,0)</f>
        <v>NSW</v>
      </c>
      <c r="I388">
        <f>VLOOKUP(B388,ColesStoreData!$B:$F,3,0)</f>
        <v>7566</v>
      </c>
      <c r="J388">
        <f>VLOOKUP(B388,ColesStoreData!$B:$F,5,0)</f>
        <v>1700</v>
      </c>
      <c r="K388">
        <f t="shared" si="12"/>
        <v>24</v>
      </c>
      <c r="L388" s="1">
        <f t="shared" si="13"/>
        <v>0.75</v>
      </c>
    </row>
    <row r="389" spans="1:12" x14ac:dyDescent="0.2">
      <c r="A389">
        <v>439</v>
      </c>
      <c r="B389" t="s">
        <v>256</v>
      </c>
      <c r="C389">
        <v>26</v>
      </c>
      <c r="D389">
        <v>38</v>
      </c>
      <c r="E389">
        <v>8</v>
      </c>
      <c r="F389" t="s">
        <v>701</v>
      </c>
      <c r="G389" t="s">
        <v>702</v>
      </c>
      <c r="H389" t="str">
        <f>VLOOKUP(B389,ColesStoreData!$B:$F,2,0)</f>
        <v>NSW</v>
      </c>
      <c r="I389">
        <f>VLOOKUP(B389,ColesStoreData!$B:$F,3,0)</f>
        <v>7130</v>
      </c>
      <c r="J389">
        <f>VLOOKUP(B389,ColesStoreData!$B:$F,5,0)</f>
        <v>1700</v>
      </c>
      <c r="K389">
        <f t="shared" si="12"/>
        <v>30</v>
      </c>
      <c r="L389" s="1">
        <f t="shared" si="13"/>
        <v>0.78947368421052633</v>
      </c>
    </row>
    <row r="390" spans="1:12" x14ac:dyDescent="0.2">
      <c r="A390">
        <v>440</v>
      </c>
      <c r="B390" t="s">
        <v>255</v>
      </c>
      <c r="C390">
        <v>36</v>
      </c>
      <c r="D390">
        <v>26</v>
      </c>
      <c r="E390">
        <v>8</v>
      </c>
      <c r="F390" t="s">
        <v>703</v>
      </c>
      <c r="G390" t="s">
        <v>700</v>
      </c>
      <c r="H390" t="str">
        <f>VLOOKUP(B390,ColesStoreData!$B:$F,2,0)</f>
        <v>VIC</v>
      </c>
      <c r="I390">
        <f>VLOOKUP(B390,ColesStoreData!$B:$F,3,0)</f>
        <v>7928</v>
      </c>
      <c r="J390">
        <f>VLOOKUP(B390,ColesStoreData!$B:$F,5,0)</f>
        <v>1700</v>
      </c>
      <c r="K390">
        <f t="shared" si="12"/>
        <v>18</v>
      </c>
      <c r="L390" s="1">
        <f t="shared" si="13"/>
        <v>0.69230769230769229</v>
      </c>
    </row>
    <row r="391" spans="1:12" x14ac:dyDescent="0.2">
      <c r="A391">
        <v>441</v>
      </c>
      <c r="B391" t="s">
        <v>254</v>
      </c>
      <c r="C391">
        <v>37</v>
      </c>
      <c r="D391">
        <v>44</v>
      </c>
      <c r="E391">
        <v>10</v>
      </c>
      <c r="F391" t="s">
        <v>701</v>
      </c>
      <c r="G391" t="s">
        <v>700</v>
      </c>
      <c r="H391" t="str">
        <f>VLOOKUP(B391,ColesStoreData!$B:$F,2,0)</f>
        <v>VIC</v>
      </c>
      <c r="I391">
        <f>VLOOKUP(B391,ColesStoreData!$B:$F,3,0)</f>
        <v>8581</v>
      </c>
      <c r="J391">
        <f>VLOOKUP(B391,ColesStoreData!$B:$F,5,0)</f>
        <v>1900</v>
      </c>
      <c r="K391">
        <f t="shared" si="12"/>
        <v>34</v>
      </c>
      <c r="L391" s="1">
        <f t="shared" si="13"/>
        <v>0.77272727272727271</v>
      </c>
    </row>
    <row r="392" spans="1:12" x14ac:dyDescent="0.2">
      <c r="A392">
        <v>442</v>
      </c>
      <c r="B392" t="s">
        <v>253</v>
      </c>
      <c r="C392">
        <v>44</v>
      </c>
      <c r="D392">
        <v>36</v>
      </c>
      <c r="E392">
        <v>8</v>
      </c>
      <c r="F392" t="s">
        <v>701</v>
      </c>
      <c r="G392" t="s">
        <v>700</v>
      </c>
      <c r="H392" t="str">
        <f>VLOOKUP(B392,ColesStoreData!$B:$F,2,0)</f>
        <v>WA</v>
      </c>
      <c r="I392">
        <f>VLOOKUP(B392,ColesStoreData!$B:$F,3,0)</f>
        <v>8908</v>
      </c>
      <c r="J392">
        <f>VLOOKUP(B392,ColesStoreData!$B:$F,5,0)</f>
        <v>1700</v>
      </c>
      <c r="K392">
        <f t="shared" si="12"/>
        <v>28</v>
      </c>
      <c r="L392" s="1">
        <f t="shared" si="13"/>
        <v>0.77777777777777779</v>
      </c>
    </row>
    <row r="393" spans="1:12" x14ac:dyDescent="0.2">
      <c r="A393">
        <v>443</v>
      </c>
      <c r="B393" t="s">
        <v>252</v>
      </c>
      <c r="C393">
        <v>34</v>
      </c>
      <c r="D393">
        <v>41</v>
      </c>
      <c r="E393">
        <v>11</v>
      </c>
      <c r="F393" t="s">
        <v>703</v>
      </c>
      <c r="G393" t="s">
        <v>700</v>
      </c>
      <c r="H393" t="str">
        <f>VLOOKUP(B393,ColesStoreData!$B:$F,2,0)</f>
        <v>VIC</v>
      </c>
      <c r="I393">
        <f>VLOOKUP(B393,ColesStoreData!$B:$F,3,0)</f>
        <v>6575</v>
      </c>
      <c r="J393">
        <f>VLOOKUP(B393,ColesStoreData!$B:$F,5,0)</f>
        <v>1700</v>
      </c>
      <c r="K393">
        <f t="shared" si="12"/>
        <v>30</v>
      </c>
      <c r="L393" s="1">
        <f t="shared" si="13"/>
        <v>0.73170731707317072</v>
      </c>
    </row>
    <row r="394" spans="1:12" x14ac:dyDescent="0.2">
      <c r="A394">
        <v>444</v>
      </c>
      <c r="B394" t="s">
        <v>251</v>
      </c>
      <c r="C394">
        <v>48</v>
      </c>
      <c r="D394">
        <v>37</v>
      </c>
      <c r="E394">
        <v>9</v>
      </c>
      <c r="F394" t="s">
        <v>703</v>
      </c>
      <c r="G394" t="s">
        <v>700</v>
      </c>
      <c r="H394" t="str">
        <f>VLOOKUP(B394,ColesStoreData!$B:$F,2,0)</f>
        <v>SA</v>
      </c>
      <c r="I394">
        <f>VLOOKUP(B394,ColesStoreData!$B:$F,3,0)</f>
        <v>6366</v>
      </c>
      <c r="J394">
        <f>VLOOKUP(B394,ColesStoreData!$B:$F,5,0)</f>
        <v>1700</v>
      </c>
      <c r="K394">
        <f t="shared" si="12"/>
        <v>28</v>
      </c>
      <c r="L394" s="1">
        <f t="shared" si="13"/>
        <v>0.7567567567567568</v>
      </c>
    </row>
    <row r="395" spans="1:12" x14ac:dyDescent="0.2">
      <c r="A395">
        <v>446</v>
      </c>
      <c r="B395" t="s">
        <v>249</v>
      </c>
      <c r="C395">
        <v>46</v>
      </c>
      <c r="D395">
        <v>36</v>
      </c>
      <c r="E395">
        <v>11</v>
      </c>
      <c r="F395" t="s">
        <v>701</v>
      </c>
      <c r="G395" t="s">
        <v>700</v>
      </c>
      <c r="H395" t="str">
        <f>VLOOKUP(B395,ColesStoreData!$B:$F,2,0)</f>
        <v>WA</v>
      </c>
      <c r="I395">
        <f>VLOOKUP(B395,ColesStoreData!$B:$F,3,0)</f>
        <v>9212</v>
      </c>
      <c r="J395">
        <f>VLOOKUP(B395,ColesStoreData!$B:$F,5,0)</f>
        <v>1700</v>
      </c>
      <c r="K395">
        <f t="shared" si="12"/>
        <v>25</v>
      </c>
      <c r="L395" s="1">
        <f t="shared" si="13"/>
        <v>0.69444444444444442</v>
      </c>
    </row>
    <row r="396" spans="1:12" x14ac:dyDescent="0.2">
      <c r="A396">
        <v>449</v>
      </c>
      <c r="B396" t="s">
        <v>246</v>
      </c>
      <c r="C396">
        <v>26</v>
      </c>
      <c r="D396">
        <v>54</v>
      </c>
      <c r="E396">
        <v>8</v>
      </c>
      <c r="F396" t="s">
        <v>701</v>
      </c>
      <c r="G396" t="s">
        <v>702</v>
      </c>
      <c r="H396" t="str">
        <f>VLOOKUP(B396,ColesStoreData!$B:$F,2,0)</f>
        <v>NSW</v>
      </c>
      <c r="I396">
        <f>VLOOKUP(B396,ColesStoreData!$B:$F,3,0)</f>
        <v>15085</v>
      </c>
      <c r="J396">
        <f>VLOOKUP(B396,ColesStoreData!$B:$F,5,0)</f>
        <v>2500</v>
      </c>
      <c r="K396">
        <f t="shared" si="12"/>
        <v>46</v>
      </c>
      <c r="L396" s="1">
        <f t="shared" si="13"/>
        <v>0.85185185185185186</v>
      </c>
    </row>
    <row r="397" spans="1:12" x14ac:dyDescent="0.2">
      <c r="A397">
        <v>450</v>
      </c>
      <c r="B397" t="s">
        <v>245</v>
      </c>
      <c r="C397">
        <v>31</v>
      </c>
      <c r="D397">
        <v>54</v>
      </c>
      <c r="E397">
        <v>12</v>
      </c>
      <c r="F397" t="s">
        <v>703</v>
      </c>
      <c r="G397" t="s">
        <v>702</v>
      </c>
      <c r="H397" t="str">
        <f>VLOOKUP(B397,ColesStoreData!$B:$F,2,0)</f>
        <v>VIC</v>
      </c>
      <c r="I397">
        <f>VLOOKUP(B397,ColesStoreData!$B:$F,3,0)</f>
        <v>30931</v>
      </c>
      <c r="J397">
        <f>VLOOKUP(B397,ColesStoreData!$B:$F,5,0)</f>
        <v>2500</v>
      </c>
      <c r="K397">
        <f t="shared" ref="K397:K453" si="14">D397-E397</f>
        <v>42</v>
      </c>
      <c r="L397" s="1">
        <f t="shared" si="13"/>
        <v>0.77777777777777779</v>
      </c>
    </row>
    <row r="398" spans="1:12" x14ac:dyDescent="0.2">
      <c r="A398">
        <v>451</v>
      </c>
      <c r="B398" t="s">
        <v>244</v>
      </c>
      <c r="C398">
        <v>35</v>
      </c>
      <c r="D398">
        <v>30</v>
      </c>
      <c r="E398">
        <v>11</v>
      </c>
      <c r="F398" t="s">
        <v>701</v>
      </c>
      <c r="G398" t="s">
        <v>700</v>
      </c>
      <c r="H398" t="str">
        <f>VLOOKUP(B398,ColesStoreData!$B:$F,2,0)</f>
        <v>VIC</v>
      </c>
      <c r="I398">
        <f>VLOOKUP(B398,ColesStoreData!$B:$F,3,0)</f>
        <v>8502</v>
      </c>
      <c r="J398">
        <f>VLOOKUP(B398,ColesStoreData!$B:$F,5,0)</f>
        <v>1700</v>
      </c>
      <c r="K398">
        <f t="shared" si="14"/>
        <v>19</v>
      </c>
      <c r="L398" s="1">
        <f t="shared" si="13"/>
        <v>0.6333333333333333</v>
      </c>
    </row>
    <row r="399" spans="1:12" x14ac:dyDescent="0.2">
      <c r="A399">
        <v>452</v>
      </c>
      <c r="B399" t="s">
        <v>243</v>
      </c>
      <c r="C399">
        <v>40</v>
      </c>
      <c r="D399">
        <v>45</v>
      </c>
      <c r="E399">
        <v>11</v>
      </c>
      <c r="F399" t="s">
        <v>703</v>
      </c>
      <c r="G399" t="s">
        <v>700</v>
      </c>
      <c r="H399" t="str">
        <f>VLOOKUP(B399,ColesStoreData!$B:$F,2,0)</f>
        <v>QLD</v>
      </c>
      <c r="I399">
        <f>VLOOKUP(B399,ColesStoreData!$B:$F,3,0)</f>
        <v>6300</v>
      </c>
      <c r="J399">
        <f>VLOOKUP(B399,ColesStoreData!$B:$F,5,0)</f>
        <v>1900</v>
      </c>
      <c r="K399">
        <f t="shared" si="14"/>
        <v>34</v>
      </c>
      <c r="L399" s="1">
        <f t="shared" si="13"/>
        <v>0.75555555555555554</v>
      </c>
    </row>
    <row r="400" spans="1:12" x14ac:dyDescent="0.2">
      <c r="A400">
        <v>453</v>
      </c>
      <c r="B400" t="s">
        <v>242</v>
      </c>
      <c r="C400">
        <v>26</v>
      </c>
      <c r="D400">
        <v>26</v>
      </c>
      <c r="E400">
        <v>11</v>
      </c>
      <c r="F400" t="s">
        <v>701</v>
      </c>
      <c r="G400" t="s">
        <v>700</v>
      </c>
      <c r="H400" t="str">
        <f>VLOOKUP(B400,ColesStoreData!$B:$F,2,0)</f>
        <v>NSW</v>
      </c>
      <c r="I400">
        <f>VLOOKUP(B400,ColesStoreData!$B:$F,3,0)</f>
        <v>8402</v>
      </c>
      <c r="J400">
        <f>VLOOKUP(B400,ColesStoreData!$B:$F,5,0)</f>
        <v>1700</v>
      </c>
      <c r="K400">
        <f t="shared" si="14"/>
        <v>15</v>
      </c>
      <c r="L400" s="1">
        <f t="shared" si="13"/>
        <v>0.57692307692307687</v>
      </c>
    </row>
    <row r="401" spans="1:12" x14ac:dyDescent="0.2">
      <c r="A401">
        <v>454</v>
      </c>
      <c r="B401" t="s">
        <v>241</v>
      </c>
      <c r="C401">
        <v>45</v>
      </c>
      <c r="D401">
        <v>56</v>
      </c>
      <c r="E401">
        <v>9</v>
      </c>
      <c r="F401" t="s">
        <v>703</v>
      </c>
      <c r="G401" t="s">
        <v>702</v>
      </c>
      <c r="H401" t="str">
        <f>VLOOKUP(B401,ColesStoreData!$B:$F,2,0)</f>
        <v>WA</v>
      </c>
      <c r="I401">
        <f>VLOOKUP(B401,ColesStoreData!$B:$F,3,0)</f>
        <v>23146</v>
      </c>
      <c r="J401">
        <f>VLOOKUP(B401,ColesStoreData!$B:$F,5,0)</f>
        <v>2500</v>
      </c>
      <c r="K401">
        <f t="shared" si="14"/>
        <v>47</v>
      </c>
      <c r="L401" s="1">
        <f t="shared" si="13"/>
        <v>0.8392857142857143</v>
      </c>
    </row>
    <row r="402" spans="1:12" x14ac:dyDescent="0.2">
      <c r="A402">
        <v>455</v>
      </c>
      <c r="B402" t="s">
        <v>240</v>
      </c>
      <c r="C402">
        <v>36</v>
      </c>
      <c r="D402">
        <v>31</v>
      </c>
      <c r="E402">
        <v>10</v>
      </c>
      <c r="F402" t="s">
        <v>701</v>
      </c>
      <c r="G402" t="s">
        <v>700</v>
      </c>
      <c r="H402" t="str">
        <f>VLOOKUP(B402,ColesStoreData!$B:$F,2,0)</f>
        <v>VIC</v>
      </c>
      <c r="I402">
        <f>VLOOKUP(B402,ColesStoreData!$B:$F,3,0)</f>
        <v>6482</v>
      </c>
      <c r="J402">
        <f>VLOOKUP(B402,ColesStoreData!$B:$F,5,0)</f>
        <v>1700</v>
      </c>
      <c r="K402">
        <f t="shared" si="14"/>
        <v>21</v>
      </c>
      <c r="L402" s="1">
        <f t="shared" si="13"/>
        <v>0.67741935483870963</v>
      </c>
    </row>
    <row r="403" spans="1:12" x14ac:dyDescent="0.2">
      <c r="A403">
        <v>456</v>
      </c>
      <c r="B403" t="s">
        <v>239</v>
      </c>
      <c r="C403">
        <v>43</v>
      </c>
      <c r="D403">
        <v>34</v>
      </c>
      <c r="E403">
        <v>8</v>
      </c>
      <c r="F403" t="s">
        <v>701</v>
      </c>
      <c r="G403" t="s">
        <v>700</v>
      </c>
      <c r="H403" t="str">
        <f>VLOOKUP(B403,ColesStoreData!$B:$F,2,0)</f>
        <v>QLD</v>
      </c>
      <c r="I403">
        <f>VLOOKUP(B403,ColesStoreData!$B:$F,3,0)</f>
        <v>6289</v>
      </c>
      <c r="J403">
        <f>VLOOKUP(B403,ColesStoreData!$B:$F,5,0)</f>
        <v>1700</v>
      </c>
      <c r="K403">
        <f t="shared" si="14"/>
        <v>26</v>
      </c>
      <c r="L403" s="1">
        <f t="shared" si="13"/>
        <v>0.76470588235294112</v>
      </c>
    </row>
    <row r="404" spans="1:12" x14ac:dyDescent="0.2">
      <c r="A404">
        <v>457</v>
      </c>
      <c r="B404" t="s">
        <v>238</v>
      </c>
      <c r="C404">
        <v>43</v>
      </c>
      <c r="D404">
        <v>48</v>
      </c>
      <c r="E404">
        <v>8</v>
      </c>
      <c r="F404" t="s">
        <v>701</v>
      </c>
      <c r="G404" t="s">
        <v>700</v>
      </c>
      <c r="H404" t="str">
        <f>VLOOKUP(B404,ColesStoreData!$B:$F,2,0)</f>
        <v>QLD</v>
      </c>
      <c r="I404">
        <f>VLOOKUP(B404,ColesStoreData!$B:$F,3,0)</f>
        <v>7498</v>
      </c>
      <c r="J404">
        <f>VLOOKUP(B404,ColesStoreData!$B:$F,5,0)</f>
        <v>1900</v>
      </c>
      <c r="K404">
        <f t="shared" si="14"/>
        <v>40</v>
      </c>
      <c r="L404" s="1">
        <f t="shared" si="13"/>
        <v>0.83333333333333337</v>
      </c>
    </row>
    <row r="405" spans="1:12" x14ac:dyDescent="0.2">
      <c r="A405">
        <v>458</v>
      </c>
      <c r="B405" t="s">
        <v>237</v>
      </c>
      <c r="C405">
        <v>36</v>
      </c>
      <c r="D405">
        <v>56</v>
      </c>
      <c r="E405">
        <v>8</v>
      </c>
      <c r="F405" t="s">
        <v>701</v>
      </c>
      <c r="G405" t="s">
        <v>702</v>
      </c>
      <c r="H405" t="str">
        <f>VLOOKUP(B405,ColesStoreData!$B:$F,2,0)</f>
        <v>VIC</v>
      </c>
      <c r="I405">
        <f>VLOOKUP(B405,ColesStoreData!$B:$F,3,0)</f>
        <v>56970</v>
      </c>
      <c r="J405">
        <f>VLOOKUP(B405,ColesStoreData!$B:$F,5,0)</f>
        <v>2500</v>
      </c>
      <c r="K405">
        <f t="shared" si="14"/>
        <v>48</v>
      </c>
      <c r="L405" s="1">
        <f t="shared" si="13"/>
        <v>0.8571428571428571</v>
      </c>
    </row>
    <row r="406" spans="1:12" x14ac:dyDescent="0.2">
      <c r="A406">
        <v>462</v>
      </c>
      <c r="B406" t="s">
        <v>233</v>
      </c>
      <c r="C406">
        <v>49</v>
      </c>
      <c r="D406">
        <v>78</v>
      </c>
      <c r="E406">
        <v>7</v>
      </c>
      <c r="F406" t="s">
        <v>701</v>
      </c>
      <c r="G406" t="s">
        <v>702</v>
      </c>
      <c r="H406" t="str">
        <f>VLOOKUP(B406,ColesStoreData!$B:$F,2,0)</f>
        <v>TAS</v>
      </c>
      <c r="I406">
        <f>VLOOKUP(B406,ColesStoreData!$B:$F,3,0)</f>
        <v>51777</v>
      </c>
      <c r="J406">
        <f>VLOOKUP(B406,ColesStoreData!$B:$F,5,0)</f>
        <v>2500</v>
      </c>
      <c r="K406">
        <f t="shared" si="14"/>
        <v>71</v>
      </c>
      <c r="L406" s="1">
        <f t="shared" si="13"/>
        <v>0.91025641025641024</v>
      </c>
    </row>
    <row r="407" spans="1:12" x14ac:dyDescent="0.2">
      <c r="A407">
        <v>463</v>
      </c>
      <c r="B407" t="s">
        <v>232</v>
      </c>
      <c r="C407">
        <v>32</v>
      </c>
      <c r="D407">
        <v>41</v>
      </c>
      <c r="E407">
        <v>8</v>
      </c>
      <c r="F407" t="s">
        <v>703</v>
      </c>
      <c r="G407" t="s">
        <v>702</v>
      </c>
      <c r="H407" t="str">
        <f>VLOOKUP(B407,ColesStoreData!$B:$F,2,0)</f>
        <v>VIC</v>
      </c>
      <c r="I407">
        <f>VLOOKUP(B407,ColesStoreData!$B:$F,3,0)</f>
        <v>7100</v>
      </c>
      <c r="J407">
        <f>VLOOKUP(B407,ColesStoreData!$B:$F,5,0)</f>
        <v>1700</v>
      </c>
      <c r="K407">
        <f t="shared" si="14"/>
        <v>33</v>
      </c>
      <c r="L407" s="1">
        <f t="shared" si="13"/>
        <v>0.80487804878048785</v>
      </c>
    </row>
    <row r="408" spans="1:12" x14ac:dyDescent="0.2">
      <c r="A408">
        <v>464</v>
      </c>
      <c r="B408" t="s">
        <v>231</v>
      </c>
      <c r="C408">
        <v>48</v>
      </c>
      <c r="D408">
        <v>59</v>
      </c>
      <c r="E408">
        <v>11</v>
      </c>
      <c r="F408" t="s">
        <v>701</v>
      </c>
      <c r="G408" t="s">
        <v>702</v>
      </c>
      <c r="H408" t="str">
        <f>VLOOKUP(B408,ColesStoreData!$B:$F,2,0)</f>
        <v>SA</v>
      </c>
      <c r="I408">
        <f>VLOOKUP(B408,ColesStoreData!$B:$F,3,0)</f>
        <v>19076</v>
      </c>
      <c r="J408">
        <f>VLOOKUP(B408,ColesStoreData!$B:$F,5,0)</f>
        <v>2700</v>
      </c>
      <c r="K408">
        <f t="shared" si="14"/>
        <v>48</v>
      </c>
      <c r="L408" s="1">
        <f t="shared" si="13"/>
        <v>0.81355932203389836</v>
      </c>
    </row>
    <row r="409" spans="1:12" x14ac:dyDescent="0.2">
      <c r="A409">
        <v>465</v>
      </c>
      <c r="B409" t="s">
        <v>230</v>
      </c>
      <c r="C409">
        <v>24</v>
      </c>
      <c r="D409">
        <v>28</v>
      </c>
      <c r="E409">
        <v>11</v>
      </c>
      <c r="F409" t="s">
        <v>703</v>
      </c>
      <c r="G409" t="s">
        <v>700</v>
      </c>
      <c r="H409" t="str">
        <f>VLOOKUP(B409,ColesStoreData!$B:$F,2,0)</f>
        <v>NSW</v>
      </c>
      <c r="I409">
        <f>VLOOKUP(B409,ColesStoreData!$B:$F,3,0)</f>
        <v>8347</v>
      </c>
      <c r="J409">
        <f>VLOOKUP(B409,ColesStoreData!$B:$F,5,0)</f>
        <v>1700</v>
      </c>
      <c r="K409">
        <f t="shared" si="14"/>
        <v>17</v>
      </c>
      <c r="L409" s="1">
        <f t="shared" si="13"/>
        <v>0.6071428571428571</v>
      </c>
    </row>
    <row r="410" spans="1:12" x14ac:dyDescent="0.2">
      <c r="A410">
        <v>466</v>
      </c>
      <c r="B410" t="s">
        <v>229</v>
      </c>
      <c r="C410">
        <v>26</v>
      </c>
      <c r="D410">
        <v>38</v>
      </c>
      <c r="E410">
        <v>13</v>
      </c>
      <c r="F410" t="s">
        <v>701</v>
      </c>
      <c r="G410" t="s">
        <v>700</v>
      </c>
      <c r="H410" t="str">
        <f>VLOOKUP(B410,ColesStoreData!$B:$F,2,0)</f>
        <v>NSW</v>
      </c>
      <c r="I410">
        <f>VLOOKUP(B410,ColesStoreData!$B:$F,3,0)</f>
        <v>8737</v>
      </c>
      <c r="J410">
        <f>VLOOKUP(B410,ColesStoreData!$B:$F,5,0)</f>
        <v>1700</v>
      </c>
      <c r="K410">
        <f t="shared" si="14"/>
        <v>25</v>
      </c>
      <c r="L410" s="1">
        <f t="shared" si="13"/>
        <v>0.65789473684210531</v>
      </c>
    </row>
    <row r="411" spans="1:12" x14ac:dyDescent="0.2">
      <c r="A411">
        <v>467</v>
      </c>
      <c r="B411" t="s">
        <v>228</v>
      </c>
      <c r="C411">
        <v>49</v>
      </c>
      <c r="D411">
        <v>34</v>
      </c>
      <c r="E411">
        <v>16</v>
      </c>
      <c r="F411" t="s">
        <v>701</v>
      </c>
      <c r="G411" t="s">
        <v>700</v>
      </c>
      <c r="H411" t="str">
        <f>VLOOKUP(B411,ColesStoreData!$B:$F,2,0)</f>
        <v>ACT</v>
      </c>
      <c r="I411">
        <f>VLOOKUP(B411,ColesStoreData!$B:$F,3,0)</f>
        <v>8667</v>
      </c>
      <c r="J411">
        <f>VLOOKUP(B411,ColesStoreData!$B:$F,5,0)</f>
        <v>1700</v>
      </c>
      <c r="K411">
        <f t="shared" si="14"/>
        <v>18</v>
      </c>
      <c r="L411" s="1">
        <f t="shared" si="13"/>
        <v>0.52941176470588236</v>
      </c>
    </row>
    <row r="412" spans="1:12" x14ac:dyDescent="0.2">
      <c r="A412">
        <v>468</v>
      </c>
      <c r="B412" t="s">
        <v>227</v>
      </c>
      <c r="C412">
        <v>42</v>
      </c>
      <c r="D412">
        <v>26</v>
      </c>
      <c r="E412">
        <v>11</v>
      </c>
      <c r="F412" t="s">
        <v>701</v>
      </c>
      <c r="G412" t="s">
        <v>700</v>
      </c>
      <c r="H412" t="str">
        <f>VLOOKUP(B412,ColesStoreData!$B:$F,2,0)</f>
        <v>QLD</v>
      </c>
      <c r="I412">
        <f>VLOOKUP(B412,ColesStoreData!$B:$F,3,0)</f>
        <v>8772</v>
      </c>
      <c r="J412">
        <f>VLOOKUP(B412,ColesStoreData!$B:$F,5,0)</f>
        <v>1700</v>
      </c>
      <c r="K412">
        <f t="shared" si="14"/>
        <v>15</v>
      </c>
      <c r="L412" s="1">
        <f t="shared" si="13"/>
        <v>0.57692307692307687</v>
      </c>
    </row>
    <row r="413" spans="1:12" x14ac:dyDescent="0.2">
      <c r="A413">
        <v>469</v>
      </c>
      <c r="B413" t="s">
        <v>226</v>
      </c>
      <c r="C413">
        <v>45</v>
      </c>
      <c r="D413">
        <v>55</v>
      </c>
      <c r="E413">
        <v>9</v>
      </c>
      <c r="F413" t="s">
        <v>703</v>
      </c>
      <c r="G413" t="s">
        <v>702</v>
      </c>
      <c r="H413" t="str">
        <f>VLOOKUP(B413,ColesStoreData!$B:$F,2,0)</f>
        <v>WA</v>
      </c>
      <c r="I413">
        <f>VLOOKUP(B413,ColesStoreData!$B:$F,3,0)</f>
        <v>17599</v>
      </c>
      <c r="J413">
        <f>VLOOKUP(B413,ColesStoreData!$B:$F,5,0)</f>
        <v>2500</v>
      </c>
      <c r="K413">
        <f t="shared" si="14"/>
        <v>46</v>
      </c>
      <c r="L413" s="1">
        <f t="shared" si="13"/>
        <v>0.83636363636363631</v>
      </c>
    </row>
    <row r="414" spans="1:12" x14ac:dyDescent="0.2">
      <c r="A414">
        <v>470</v>
      </c>
      <c r="B414" t="s">
        <v>225</v>
      </c>
      <c r="C414">
        <v>25</v>
      </c>
      <c r="D414">
        <v>27</v>
      </c>
      <c r="E414">
        <v>14</v>
      </c>
      <c r="F414" t="s">
        <v>701</v>
      </c>
      <c r="G414" t="s">
        <v>700</v>
      </c>
      <c r="H414" t="str">
        <f>VLOOKUP(B414,ColesStoreData!$B:$F,2,0)</f>
        <v>NSW</v>
      </c>
      <c r="I414">
        <f>VLOOKUP(B414,ColesStoreData!$B:$F,3,0)</f>
        <v>9832</v>
      </c>
      <c r="J414">
        <f>VLOOKUP(B414,ColesStoreData!$B:$F,5,0)</f>
        <v>1700</v>
      </c>
      <c r="K414">
        <f t="shared" si="14"/>
        <v>13</v>
      </c>
      <c r="L414" s="1">
        <f t="shared" si="13"/>
        <v>0.48148148148148145</v>
      </c>
    </row>
    <row r="415" spans="1:12" x14ac:dyDescent="0.2">
      <c r="A415">
        <v>471</v>
      </c>
      <c r="B415" t="s">
        <v>224</v>
      </c>
      <c r="C415">
        <v>45</v>
      </c>
      <c r="D415">
        <v>42</v>
      </c>
      <c r="E415">
        <v>12</v>
      </c>
      <c r="F415" t="s">
        <v>703</v>
      </c>
      <c r="G415" t="s">
        <v>700</v>
      </c>
      <c r="H415" t="str">
        <f>VLOOKUP(B415,ColesStoreData!$B:$F,2,0)</f>
        <v>WA</v>
      </c>
      <c r="I415">
        <f>VLOOKUP(B415,ColesStoreData!$B:$F,3,0)</f>
        <v>9637</v>
      </c>
      <c r="J415">
        <f>VLOOKUP(B415,ColesStoreData!$B:$F,5,0)</f>
        <v>1700</v>
      </c>
      <c r="K415">
        <f t="shared" si="14"/>
        <v>30</v>
      </c>
      <c r="L415" s="1">
        <f t="shared" si="13"/>
        <v>0.7142857142857143</v>
      </c>
    </row>
    <row r="416" spans="1:12" x14ac:dyDescent="0.2">
      <c r="A416">
        <v>472</v>
      </c>
      <c r="B416" t="s">
        <v>223</v>
      </c>
      <c r="C416">
        <v>37</v>
      </c>
      <c r="D416">
        <v>31</v>
      </c>
      <c r="E416">
        <v>4</v>
      </c>
      <c r="F416" t="s">
        <v>701</v>
      </c>
      <c r="G416" t="s">
        <v>700</v>
      </c>
      <c r="H416" t="str">
        <f>VLOOKUP(B416,ColesStoreData!$B:$F,2,0)</f>
        <v>QLD</v>
      </c>
      <c r="I416">
        <f>VLOOKUP(B416,ColesStoreData!$B:$F,3,0)</f>
        <v>7097</v>
      </c>
      <c r="J416">
        <f>VLOOKUP(B416,ColesStoreData!$B:$F,5,0)</f>
        <v>1700</v>
      </c>
      <c r="K416">
        <f t="shared" si="14"/>
        <v>27</v>
      </c>
      <c r="L416" s="1">
        <f t="shared" si="13"/>
        <v>0.87096774193548387</v>
      </c>
    </row>
    <row r="417" spans="1:12" x14ac:dyDescent="0.2">
      <c r="A417">
        <v>474</v>
      </c>
      <c r="B417" t="s">
        <v>221</v>
      </c>
      <c r="C417">
        <v>34</v>
      </c>
      <c r="D417">
        <v>42</v>
      </c>
      <c r="E417">
        <v>3</v>
      </c>
      <c r="F417" t="s">
        <v>703</v>
      </c>
      <c r="G417" t="s">
        <v>702</v>
      </c>
      <c r="H417" t="str">
        <f>VLOOKUP(B417,ColesStoreData!$B:$F,2,0)</f>
        <v>VIC</v>
      </c>
      <c r="I417">
        <f>VLOOKUP(B417,ColesStoreData!$B:$F,3,0)</f>
        <v>8293</v>
      </c>
      <c r="J417">
        <f>VLOOKUP(B417,ColesStoreData!$B:$F,5,0)</f>
        <v>1700</v>
      </c>
      <c r="K417">
        <f t="shared" si="14"/>
        <v>39</v>
      </c>
      <c r="L417" s="1">
        <f t="shared" si="13"/>
        <v>0.9285714285714286</v>
      </c>
    </row>
    <row r="418" spans="1:12" x14ac:dyDescent="0.2">
      <c r="A418">
        <v>475</v>
      </c>
      <c r="B418" t="s">
        <v>220</v>
      </c>
      <c r="C418">
        <v>46</v>
      </c>
      <c r="D418">
        <v>41</v>
      </c>
      <c r="E418">
        <v>9</v>
      </c>
      <c r="F418" t="s">
        <v>703</v>
      </c>
      <c r="G418" t="s">
        <v>700</v>
      </c>
      <c r="H418" t="str">
        <f>VLOOKUP(B418,ColesStoreData!$B:$F,2,0)</f>
        <v>WA</v>
      </c>
      <c r="I418">
        <f>VLOOKUP(B418,ColesStoreData!$B:$F,3,0)</f>
        <v>8744</v>
      </c>
      <c r="J418">
        <f>VLOOKUP(B418,ColesStoreData!$B:$F,5,0)</f>
        <v>1700</v>
      </c>
      <c r="K418">
        <f t="shared" si="14"/>
        <v>32</v>
      </c>
      <c r="L418" s="1">
        <f t="shared" si="13"/>
        <v>0.78048780487804881</v>
      </c>
    </row>
    <row r="419" spans="1:12" x14ac:dyDescent="0.2">
      <c r="A419">
        <v>476</v>
      </c>
      <c r="B419" t="s">
        <v>219</v>
      </c>
      <c r="C419">
        <v>48</v>
      </c>
      <c r="D419">
        <v>27</v>
      </c>
      <c r="E419">
        <v>8</v>
      </c>
      <c r="F419" t="s">
        <v>703</v>
      </c>
      <c r="G419" t="s">
        <v>700</v>
      </c>
      <c r="H419" t="str">
        <f>VLOOKUP(B419,ColesStoreData!$B:$F,2,0)</f>
        <v>SA</v>
      </c>
      <c r="I419">
        <f>VLOOKUP(B419,ColesStoreData!$B:$F,3,0)</f>
        <v>7937</v>
      </c>
      <c r="J419">
        <f>VLOOKUP(B419,ColesStoreData!$B:$F,5,0)</f>
        <v>1700</v>
      </c>
      <c r="K419">
        <f t="shared" si="14"/>
        <v>19</v>
      </c>
      <c r="L419" s="1">
        <f t="shared" si="13"/>
        <v>0.70370370370370372</v>
      </c>
    </row>
    <row r="420" spans="1:12" x14ac:dyDescent="0.2">
      <c r="A420">
        <v>477</v>
      </c>
      <c r="B420" t="s">
        <v>218</v>
      </c>
      <c r="C420">
        <v>40</v>
      </c>
      <c r="D420">
        <v>36</v>
      </c>
      <c r="E420">
        <v>12</v>
      </c>
      <c r="F420" t="s">
        <v>703</v>
      </c>
      <c r="G420" t="s">
        <v>700</v>
      </c>
      <c r="H420" t="str">
        <f>VLOOKUP(B420,ColesStoreData!$B:$F,2,0)</f>
        <v>QLD</v>
      </c>
      <c r="I420">
        <f>VLOOKUP(B420,ColesStoreData!$B:$F,3,0)</f>
        <v>6488</v>
      </c>
      <c r="J420">
        <f>VLOOKUP(B420,ColesStoreData!$B:$F,5,0)</f>
        <v>1700</v>
      </c>
      <c r="K420">
        <f t="shared" si="14"/>
        <v>24</v>
      </c>
      <c r="L420" s="1">
        <f t="shared" si="13"/>
        <v>0.66666666666666663</v>
      </c>
    </row>
    <row r="421" spans="1:12" x14ac:dyDescent="0.2">
      <c r="A421">
        <v>478</v>
      </c>
      <c r="B421" t="s">
        <v>217</v>
      </c>
      <c r="C421">
        <v>36</v>
      </c>
      <c r="D421">
        <v>41</v>
      </c>
      <c r="E421">
        <v>5</v>
      </c>
      <c r="F421" t="s">
        <v>703</v>
      </c>
      <c r="G421" t="s">
        <v>702</v>
      </c>
      <c r="H421" t="str">
        <f>VLOOKUP(B421,ColesStoreData!$B:$F,2,0)</f>
        <v>VIC</v>
      </c>
      <c r="I421">
        <f>VLOOKUP(B421,ColesStoreData!$B:$F,3,0)</f>
        <v>8335</v>
      </c>
      <c r="J421">
        <f>VLOOKUP(B421,ColesStoreData!$B:$F,5,0)</f>
        <v>1700</v>
      </c>
      <c r="K421">
        <f t="shared" si="14"/>
        <v>36</v>
      </c>
      <c r="L421" s="1">
        <f t="shared" si="13"/>
        <v>0.87804878048780488</v>
      </c>
    </row>
    <row r="422" spans="1:12" x14ac:dyDescent="0.2">
      <c r="A422">
        <v>479</v>
      </c>
      <c r="B422" t="s">
        <v>216</v>
      </c>
      <c r="C422">
        <v>39</v>
      </c>
      <c r="D422">
        <v>54</v>
      </c>
      <c r="E422">
        <v>8</v>
      </c>
      <c r="F422" t="s">
        <v>701</v>
      </c>
      <c r="G422" t="s">
        <v>702</v>
      </c>
      <c r="H422" t="str">
        <f>VLOOKUP(B422,ColesStoreData!$B:$F,2,0)</f>
        <v>QLD</v>
      </c>
      <c r="I422">
        <f>VLOOKUP(B422,ColesStoreData!$B:$F,3,0)</f>
        <v>10346</v>
      </c>
      <c r="J422">
        <f>VLOOKUP(B422,ColesStoreData!$B:$F,5,0)</f>
        <v>2500</v>
      </c>
      <c r="K422">
        <f t="shared" si="14"/>
        <v>46</v>
      </c>
      <c r="L422" s="1">
        <f t="shared" si="13"/>
        <v>0.85185185185185186</v>
      </c>
    </row>
    <row r="423" spans="1:12" x14ac:dyDescent="0.2">
      <c r="A423">
        <v>480</v>
      </c>
      <c r="B423" t="s">
        <v>215</v>
      </c>
      <c r="C423">
        <v>44</v>
      </c>
      <c r="D423">
        <v>27</v>
      </c>
      <c r="E423">
        <v>12</v>
      </c>
      <c r="F423" t="s">
        <v>701</v>
      </c>
      <c r="G423" t="s">
        <v>700</v>
      </c>
      <c r="H423" t="str">
        <f>VLOOKUP(B423,ColesStoreData!$B:$F,2,0)</f>
        <v>WA</v>
      </c>
      <c r="I423">
        <f>VLOOKUP(B423,ColesStoreData!$B:$F,3,0)</f>
        <v>8736</v>
      </c>
      <c r="J423">
        <f>VLOOKUP(B423,ColesStoreData!$B:$F,5,0)</f>
        <v>1700</v>
      </c>
      <c r="K423">
        <f t="shared" si="14"/>
        <v>15</v>
      </c>
      <c r="L423" s="1">
        <f t="shared" si="13"/>
        <v>0.55555555555555558</v>
      </c>
    </row>
    <row r="424" spans="1:12" x14ac:dyDescent="0.2">
      <c r="A424">
        <v>481</v>
      </c>
      <c r="B424" t="s">
        <v>214</v>
      </c>
      <c r="C424">
        <v>47</v>
      </c>
      <c r="D424">
        <v>56</v>
      </c>
      <c r="E424">
        <v>12</v>
      </c>
      <c r="F424" t="s">
        <v>703</v>
      </c>
      <c r="G424" t="s">
        <v>700</v>
      </c>
      <c r="H424" t="str">
        <f>VLOOKUP(B424,ColesStoreData!$B:$F,2,0)</f>
        <v>SA</v>
      </c>
      <c r="I424">
        <f>VLOOKUP(B424,ColesStoreData!$B:$F,3,0)</f>
        <v>29988</v>
      </c>
      <c r="J424">
        <f>VLOOKUP(B424,ColesStoreData!$B:$F,5,0)</f>
        <v>2500</v>
      </c>
      <c r="K424">
        <f t="shared" si="14"/>
        <v>44</v>
      </c>
      <c r="L424" s="1">
        <f t="shared" si="13"/>
        <v>0.7857142857142857</v>
      </c>
    </row>
    <row r="425" spans="1:12" x14ac:dyDescent="0.2">
      <c r="A425">
        <v>482</v>
      </c>
      <c r="B425" t="s">
        <v>213</v>
      </c>
      <c r="C425">
        <v>50</v>
      </c>
      <c r="D425">
        <v>45</v>
      </c>
      <c r="E425">
        <v>8</v>
      </c>
      <c r="F425" t="s">
        <v>701</v>
      </c>
      <c r="G425" t="s">
        <v>700</v>
      </c>
      <c r="H425" t="str">
        <f>VLOOKUP(B425,ColesStoreData!$B:$F,2,0)</f>
        <v>TAS</v>
      </c>
      <c r="I425">
        <f>VLOOKUP(B425,ColesStoreData!$B:$F,3,0)</f>
        <v>9167</v>
      </c>
      <c r="J425">
        <f>VLOOKUP(B425,ColesStoreData!$B:$F,5,0)</f>
        <v>1900</v>
      </c>
      <c r="K425">
        <f t="shared" si="14"/>
        <v>37</v>
      </c>
      <c r="L425" s="1">
        <f t="shared" si="13"/>
        <v>0.82222222222222219</v>
      </c>
    </row>
    <row r="426" spans="1:12" x14ac:dyDescent="0.2">
      <c r="A426">
        <v>483</v>
      </c>
      <c r="B426" t="s">
        <v>212</v>
      </c>
      <c r="C426">
        <v>22</v>
      </c>
      <c r="D426">
        <v>48</v>
      </c>
      <c r="E426">
        <v>9</v>
      </c>
      <c r="F426" t="s">
        <v>701</v>
      </c>
      <c r="G426" t="s">
        <v>702</v>
      </c>
      <c r="H426" t="str">
        <f>VLOOKUP(B426,ColesStoreData!$B:$F,2,0)</f>
        <v>NSW</v>
      </c>
      <c r="I426">
        <f>VLOOKUP(B426,ColesStoreData!$B:$F,3,0)</f>
        <v>6973</v>
      </c>
      <c r="J426">
        <f>VLOOKUP(B426,ColesStoreData!$B:$F,5,0)</f>
        <v>1900</v>
      </c>
      <c r="K426">
        <f t="shared" si="14"/>
        <v>39</v>
      </c>
      <c r="L426" s="1">
        <f t="shared" si="13"/>
        <v>0.8125</v>
      </c>
    </row>
    <row r="427" spans="1:12" x14ac:dyDescent="0.2">
      <c r="A427">
        <v>485</v>
      </c>
      <c r="B427" t="s">
        <v>210</v>
      </c>
      <c r="C427">
        <v>44</v>
      </c>
      <c r="D427">
        <v>50</v>
      </c>
      <c r="E427">
        <v>9</v>
      </c>
      <c r="F427" t="s">
        <v>703</v>
      </c>
      <c r="G427" t="s">
        <v>700</v>
      </c>
      <c r="H427" t="str">
        <f>VLOOKUP(B427,ColesStoreData!$B:$F,2,0)</f>
        <v>WA</v>
      </c>
      <c r="I427">
        <f>VLOOKUP(B427,ColesStoreData!$B:$F,3,0)</f>
        <v>7266</v>
      </c>
      <c r="J427">
        <f>VLOOKUP(B427,ColesStoreData!$B:$F,5,0)</f>
        <v>1900</v>
      </c>
      <c r="K427">
        <f t="shared" si="14"/>
        <v>41</v>
      </c>
      <c r="L427" s="1">
        <f t="shared" si="13"/>
        <v>0.82</v>
      </c>
    </row>
    <row r="428" spans="1:12" x14ac:dyDescent="0.2">
      <c r="A428">
        <v>486</v>
      </c>
      <c r="B428" t="s">
        <v>209</v>
      </c>
      <c r="C428">
        <v>29</v>
      </c>
      <c r="D428">
        <v>41</v>
      </c>
      <c r="E428">
        <v>9</v>
      </c>
      <c r="F428" t="s">
        <v>701</v>
      </c>
      <c r="G428" t="s">
        <v>702</v>
      </c>
      <c r="H428" t="str">
        <f>VLOOKUP(B428,ColesStoreData!$B:$F,2,0)</f>
        <v>VIC</v>
      </c>
      <c r="I428">
        <f>VLOOKUP(B428,ColesStoreData!$B:$F,3,0)</f>
        <v>6096</v>
      </c>
      <c r="J428">
        <f>VLOOKUP(B428,ColesStoreData!$B:$F,5,0)</f>
        <v>1700</v>
      </c>
      <c r="K428">
        <f t="shared" si="14"/>
        <v>32</v>
      </c>
      <c r="L428" s="1">
        <f t="shared" si="13"/>
        <v>0.78048780487804881</v>
      </c>
    </row>
    <row r="429" spans="1:12" x14ac:dyDescent="0.2">
      <c r="A429">
        <v>487</v>
      </c>
      <c r="B429" t="s">
        <v>208</v>
      </c>
      <c r="C429">
        <v>39</v>
      </c>
      <c r="D429">
        <v>47</v>
      </c>
      <c r="E429">
        <v>10</v>
      </c>
      <c r="F429" t="s">
        <v>701</v>
      </c>
      <c r="G429" t="s">
        <v>700</v>
      </c>
      <c r="H429" t="str">
        <f>VLOOKUP(B429,ColesStoreData!$B:$F,2,0)</f>
        <v>QLD</v>
      </c>
      <c r="I429">
        <f>VLOOKUP(B429,ColesStoreData!$B:$F,3,0)</f>
        <v>6353</v>
      </c>
      <c r="J429">
        <f>VLOOKUP(B429,ColesStoreData!$B:$F,5,0)</f>
        <v>1900</v>
      </c>
      <c r="K429">
        <f t="shared" si="14"/>
        <v>37</v>
      </c>
      <c r="L429" s="1">
        <f t="shared" si="13"/>
        <v>0.78723404255319152</v>
      </c>
    </row>
    <row r="430" spans="1:12" x14ac:dyDescent="0.2">
      <c r="A430">
        <v>488</v>
      </c>
      <c r="B430" t="s">
        <v>207</v>
      </c>
      <c r="C430">
        <v>31</v>
      </c>
      <c r="D430">
        <v>39</v>
      </c>
      <c r="E430">
        <v>15</v>
      </c>
      <c r="F430" t="s">
        <v>701</v>
      </c>
      <c r="G430" t="s">
        <v>700</v>
      </c>
      <c r="H430" t="str">
        <f>VLOOKUP(B430,ColesStoreData!$B:$F,2,0)</f>
        <v>VIC</v>
      </c>
      <c r="I430">
        <f>VLOOKUP(B430,ColesStoreData!$B:$F,3,0)</f>
        <v>9812</v>
      </c>
      <c r="J430">
        <f>VLOOKUP(B430,ColesStoreData!$B:$F,5,0)</f>
        <v>1700</v>
      </c>
      <c r="K430">
        <f t="shared" si="14"/>
        <v>24</v>
      </c>
      <c r="L430" s="1">
        <f t="shared" si="13"/>
        <v>0.61538461538461542</v>
      </c>
    </row>
    <row r="431" spans="1:12" x14ac:dyDescent="0.2">
      <c r="A431">
        <v>490</v>
      </c>
      <c r="B431" t="s">
        <v>205</v>
      </c>
      <c r="C431">
        <v>29</v>
      </c>
      <c r="D431">
        <v>29</v>
      </c>
      <c r="E431">
        <v>11</v>
      </c>
      <c r="F431" t="s">
        <v>701</v>
      </c>
      <c r="G431" t="s">
        <v>700</v>
      </c>
      <c r="H431" t="str">
        <f>VLOOKUP(B431,ColesStoreData!$B:$F,2,0)</f>
        <v>VIC</v>
      </c>
      <c r="I431">
        <f>VLOOKUP(B431,ColesStoreData!$B:$F,3,0)</f>
        <v>9729</v>
      </c>
      <c r="J431">
        <f>VLOOKUP(B431,ColesStoreData!$B:$F,5,0)</f>
        <v>1700</v>
      </c>
      <c r="K431">
        <f t="shared" si="14"/>
        <v>18</v>
      </c>
      <c r="L431" s="1">
        <f t="shared" si="13"/>
        <v>0.62068965517241381</v>
      </c>
    </row>
    <row r="432" spans="1:12" x14ac:dyDescent="0.2">
      <c r="A432">
        <v>491</v>
      </c>
      <c r="B432" t="s">
        <v>204</v>
      </c>
      <c r="C432">
        <v>30</v>
      </c>
      <c r="D432">
        <v>40</v>
      </c>
      <c r="E432">
        <v>16</v>
      </c>
      <c r="F432" t="s">
        <v>703</v>
      </c>
      <c r="G432" t="s">
        <v>700</v>
      </c>
      <c r="H432" t="str">
        <f>VLOOKUP(B432,ColesStoreData!$B:$F,2,0)</f>
        <v>VIC</v>
      </c>
      <c r="I432">
        <f>VLOOKUP(B432,ColesStoreData!$B:$F,3,0)</f>
        <v>6535</v>
      </c>
      <c r="J432">
        <f>VLOOKUP(B432,ColesStoreData!$B:$F,5,0)</f>
        <v>1700</v>
      </c>
      <c r="K432">
        <f t="shared" si="14"/>
        <v>24</v>
      </c>
      <c r="L432" s="1">
        <f t="shared" si="13"/>
        <v>0.6</v>
      </c>
    </row>
    <row r="433" spans="1:12" x14ac:dyDescent="0.2">
      <c r="A433">
        <v>492</v>
      </c>
      <c r="B433" t="s">
        <v>203</v>
      </c>
      <c r="C433">
        <v>41</v>
      </c>
      <c r="D433">
        <v>28</v>
      </c>
      <c r="E433">
        <v>13</v>
      </c>
      <c r="F433" t="s">
        <v>701</v>
      </c>
      <c r="G433" t="s">
        <v>700</v>
      </c>
      <c r="H433" t="str">
        <f>VLOOKUP(B433,ColesStoreData!$B:$F,2,0)</f>
        <v>QLD</v>
      </c>
      <c r="I433">
        <f>VLOOKUP(B433,ColesStoreData!$B:$F,3,0)</f>
        <v>7594</v>
      </c>
      <c r="J433">
        <f>VLOOKUP(B433,ColesStoreData!$B:$F,5,0)</f>
        <v>1700</v>
      </c>
      <c r="K433">
        <f t="shared" si="14"/>
        <v>15</v>
      </c>
      <c r="L433" s="1">
        <f t="shared" si="13"/>
        <v>0.5357142857142857</v>
      </c>
    </row>
    <row r="434" spans="1:12" x14ac:dyDescent="0.2">
      <c r="A434">
        <v>493</v>
      </c>
      <c r="B434" t="s">
        <v>202</v>
      </c>
      <c r="C434">
        <v>27</v>
      </c>
      <c r="D434">
        <v>57</v>
      </c>
      <c r="E434">
        <v>6</v>
      </c>
      <c r="F434" t="s">
        <v>703</v>
      </c>
      <c r="G434" t="s">
        <v>702</v>
      </c>
      <c r="H434" t="str">
        <f>VLOOKUP(B434,ColesStoreData!$B:$F,2,0)</f>
        <v>NSW</v>
      </c>
      <c r="I434">
        <f>VLOOKUP(B434,ColesStoreData!$B:$F,3,0)</f>
        <v>33503</v>
      </c>
      <c r="J434">
        <f>VLOOKUP(B434,ColesStoreData!$B:$F,5,0)</f>
        <v>2500</v>
      </c>
      <c r="K434">
        <f t="shared" si="14"/>
        <v>51</v>
      </c>
      <c r="L434" s="1">
        <f t="shared" si="13"/>
        <v>0.89473684210526316</v>
      </c>
    </row>
    <row r="435" spans="1:12" x14ac:dyDescent="0.2">
      <c r="A435">
        <v>495</v>
      </c>
      <c r="B435" t="s">
        <v>200</v>
      </c>
      <c r="C435">
        <v>29</v>
      </c>
      <c r="D435">
        <v>47</v>
      </c>
      <c r="E435">
        <v>7</v>
      </c>
      <c r="F435" t="s">
        <v>701</v>
      </c>
      <c r="G435" t="s">
        <v>702</v>
      </c>
      <c r="H435" t="str">
        <f>VLOOKUP(B435,ColesStoreData!$B:$F,2,0)</f>
        <v>VIC</v>
      </c>
      <c r="I435">
        <f>VLOOKUP(B435,ColesStoreData!$B:$F,3,0)</f>
        <v>8144</v>
      </c>
      <c r="J435">
        <f>VLOOKUP(B435,ColesStoreData!$B:$F,5,0)</f>
        <v>1900</v>
      </c>
      <c r="K435">
        <f t="shared" si="14"/>
        <v>40</v>
      </c>
      <c r="L435" s="1">
        <f t="shared" si="13"/>
        <v>0.85106382978723405</v>
      </c>
    </row>
    <row r="436" spans="1:12" x14ac:dyDescent="0.2">
      <c r="A436">
        <v>496</v>
      </c>
      <c r="B436" t="s">
        <v>199</v>
      </c>
      <c r="C436">
        <v>36</v>
      </c>
      <c r="D436">
        <v>58</v>
      </c>
      <c r="E436">
        <v>10</v>
      </c>
      <c r="F436" t="s">
        <v>703</v>
      </c>
      <c r="G436" t="s">
        <v>702</v>
      </c>
      <c r="H436" t="str">
        <f>VLOOKUP(B436,ColesStoreData!$B:$F,2,0)</f>
        <v>VIC</v>
      </c>
      <c r="I436">
        <f>VLOOKUP(B436,ColesStoreData!$B:$F,3,0)</f>
        <v>18196</v>
      </c>
      <c r="J436">
        <f>VLOOKUP(B436,ColesStoreData!$B:$F,5,0)</f>
        <v>2700</v>
      </c>
      <c r="K436">
        <f t="shared" si="14"/>
        <v>48</v>
      </c>
      <c r="L436" s="1">
        <f t="shared" si="13"/>
        <v>0.82758620689655171</v>
      </c>
    </row>
    <row r="437" spans="1:12" x14ac:dyDescent="0.2">
      <c r="A437">
        <v>497</v>
      </c>
      <c r="B437" t="s">
        <v>198</v>
      </c>
      <c r="C437">
        <v>21</v>
      </c>
      <c r="D437">
        <v>42</v>
      </c>
      <c r="E437">
        <v>11</v>
      </c>
      <c r="F437" t="s">
        <v>703</v>
      </c>
      <c r="G437" t="s">
        <v>702</v>
      </c>
      <c r="H437" t="str">
        <f>VLOOKUP(B437,ColesStoreData!$B:$F,2,0)</f>
        <v>NSW</v>
      </c>
      <c r="I437">
        <f>VLOOKUP(B437,ColesStoreData!$B:$F,3,0)</f>
        <v>6454</v>
      </c>
      <c r="J437">
        <f>VLOOKUP(B437,ColesStoreData!$B:$F,5,0)</f>
        <v>1700</v>
      </c>
      <c r="K437">
        <f t="shared" si="14"/>
        <v>31</v>
      </c>
      <c r="L437" s="1">
        <f t="shared" si="13"/>
        <v>0.73809523809523814</v>
      </c>
    </row>
    <row r="438" spans="1:12" x14ac:dyDescent="0.2">
      <c r="A438">
        <v>498</v>
      </c>
      <c r="B438" t="s">
        <v>197</v>
      </c>
      <c r="C438">
        <v>35</v>
      </c>
      <c r="D438">
        <v>37</v>
      </c>
      <c r="E438">
        <v>4</v>
      </c>
      <c r="F438" t="s">
        <v>703</v>
      </c>
      <c r="G438" t="s">
        <v>700</v>
      </c>
      <c r="H438" t="str">
        <f>VLOOKUP(B438,ColesStoreData!$B:$F,2,0)</f>
        <v>VIC</v>
      </c>
      <c r="I438">
        <f>VLOOKUP(B438,ColesStoreData!$B:$F,3,0)</f>
        <v>7636</v>
      </c>
      <c r="J438">
        <f>VLOOKUP(B438,ColesStoreData!$B:$F,5,0)</f>
        <v>1700</v>
      </c>
      <c r="K438">
        <f t="shared" si="14"/>
        <v>33</v>
      </c>
      <c r="L438" s="1">
        <f t="shared" si="13"/>
        <v>0.89189189189189189</v>
      </c>
    </row>
    <row r="439" spans="1:12" x14ac:dyDescent="0.2">
      <c r="A439">
        <v>499</v>
      </c>
      <c r="B439" t="s">
        <v>196</v>
      </c>
      <c r="C439">
        <v>34</v>
      </c>
      <c r="D439">
        <v>43</v>
      </c>
      <c r="E439">
        <v>11</v>
      </c>
      <c r="F439" t="s">
        <v>701</v>
      </c>
      <c r="G439" t="s">
        <v>700</v>
      </c>
      <c r="H439" t="str">
        <f>VLOOKUP(B439,ColesStoreData!$B:$F,2,0)</f>
        <v>VIC</v>
      </c>
      <c r="I439">
        <f>VLOOKUP(B439,ColesStoreData!$B:$F,3,0)</f>
        <v>6022</v>
      </c>
      <c r="J439">
        <f>VLOOKUP(B439,ColesStoreData!$B:$F,5,0)</f>
        <v>1700</v>
      </c>
      <c r="K439">
        <f t="shared" si="14"/>
        <v>32</v>
      </c>
      <c r="L439" s="1">
        <f t="shared" si="13"/>
        <v>0.7441860465116279</v>
      </c>
    </row>
    <row r="440" spans="1:12" x14ac:dyDescent="0.2">
      <c r="A440">
        <v>500</v>
      </c>
      <c r="B440" t="s">
        <v>195</v>
      </c>
      <c r="C440">
        <v>35</v>
      </c>
      <c r="D440">
        <v>52</v>
      </c>
      <c r="E440">
        <v>12</v>
      </c>
      <c r="F440" t="s">
        <v>703</v>
      </c>
      <c r="G440" t="s">
        <v>702</v>
      </c>
      <c r="H440" t="str">
        <f>VLOOKUP(B440,ColesStoreData!$B:$F,2,0)</f>
        <v>VIC</v>
      </c>
      <c r="I440">
        <f>VLOOKUP(B440,ColesStoreData!$B:$F,3,0)</f>
        <v>9647</v>
      </c>
      <c r="J440">
        <f>VLOOKUP(B440,ColesStoreData!$B:$F,5,0)</f>
        <v>1900</v>
      </c>
      <c r="K440">
        <f t="shared" si="14"/>
        <v>40</v>
      </c>
      <c r="L440" s="1">
        <f t="shared" si="13"/>
        <v>0.76923076923076927</v>
      </c>
    </row>
    <row r="441" spans="1:12" x14ac:dyDescent="0.2">
      <c r="A441">
        <v>501</v>
      </c>
      <c r="B441" t="s">
        <v>194</v>
      </c>
      <c r="C441">
        <v>24</v>
      </c>
      <c r="D441">
        <v>36</v>
      </c>
      <c r="E441">
        <v>6</v>
      </c>
      <c r="F441" t="s">
        <v>701</v>
      </c>
      <c r="G441" t="s">
        <v>702</v>
      </c>
      <c r="H441" t="str">
        <f>VLOOKUP(B441,ColesStoreData!$B:$F,2,0)</f>
        <v>NSW</v>
      </c>
      <c r="I441">
        <f>VLOOKUP(B441,ColesStoreData!$B:$F,3,0)</f>
        <v>6469</v>
      </c>
      <c r="J441">
        <f>VLOOKUP(B441,ColesStoreData!$B:$F,5,0)</f>
        <v>1700</v>
      </c>
      <c r="K441">
        <f t="shared" si="14"/>
        <v>30</v>
      </c>
      <c r="L441" s="1">
        <f t="shared" si="13"/>
        <v>0.83333333333333337</v>
      </c>
    </row>
    <row r="442" spans="1:12" x14ac:dyDescent="0.2">
      <c r="A442">
        <v>502</v>
      </c>
      <c r="B442" t="s">
        <v>193</v>
      </c>
      <c r="C442">
        <v>43</v>
      </c>
      <c r="D442">
        <v>45</v>
      </c>
      <c r="E442">
        <v>16</v>
      </c>
      <c r="F442" t="s">
        <v>701</v>
      </c>
      <c r="G442" t="s">
        <v>700</v>
      </c>
      <c r="H442" t="str">
        <f>VLOOKUP(B442,ColesStoreData!$B:$F,2,0)</f>
        <v>QLD</v>
      </c>
      <c r="I442">
        <f>VLOOKUP(B442,ColesStoreData!$B:$F,3,0)</f>
        <v>6466</v>
      </c>
      <c r="J442">
        <f>VLOOKUP(B442,ColesStoreData!$B:$F,5,0)</f>
        <v>1900</v>
      </c>
      <c r="K442">
        <f t="shared" si="14"/>
        <v>29</v>
      </c>
      <c r="L442" s="1">
        <f t="shared" ref="L442:L504" si="15">K442/D442</f>
        <v>0.64444444444444449</v>
      </c>
    </row>
    <row r="443" spans="1:12" x14ac:dyDescent="0.2">
      <c r="A443">
        <v>503</v>
      </c>
      <c r="B443" t="s">
        <v>192</v>
      </c>
      <c r="C443">
        <v>36</v>
      </c>
      <c r="D443">
        <v>39</v>
      </c>
      <c r="E443">
        <v>6</v>
      </c>
      <c r="F443" t="s">
        <v>701</v>
      </c>
      <c r="G443" t="s">
        <v>700</v>
      </c>
      <c r="H443" t="str">
        <f>VLOOKUP(B443,ColesStoreData!$B:$F,2,0)</f>
        <v>VIC</v>
      </c>
      <c r="I443">
        <f>VLOOKUP(B443,ColesStoreData!$B:$F,3,0)</f>
        <v>9729</v>
      </c>
      <c r="J443">
        <f>VLOOKUP(B443,ColesStoreData!$B:$F,5,0)</f>
        <v>1700</v>
      </c>
      <c r="K443">
        <f t="shared" si="14"/>
        <v>33</v>
      </c>
      <c r="L443" s="1">
        <f t="shared" si="15"/>
        <v>0.84615384615384615</v>
      </c>
    </row>
    <row r="444" spans="1:12" x14ac:dyDescent="0.2">
      <c r="A444">
        <v>504</v>
      </c>
      <c r="B444" t="s">
        <v>191</v>
      </c>
      <c r="C444">
        <v>22</v>
      </c>
      <c r="D444">
        <v>44</v>
      </c>
      <c r="E444">
        <v>11</v>
      </c>
      <c r="F444" t="s">
        <v>701</v>
      </c>
      <c r="G444" t="s">
        <v>702</v>
      </c>
      <c r="H444" t="str">
        <f>VLOOKUP(B444,ColesStoreData!$B:$F,2,0)</f>
        <v>NSW</v>
      </c>
      <c r="I444">
        <f>VLOOKUP(B444,ColesStoreData!$B:$F,3,0)</f>
        <v>7213</v>
      </c>
      <c r="J444">
        <f>VLOOKUP(B444,ColesStoreData!$B:$F,5,0)</f>
        <v>1700</v>
      </c>
      <c r="K444">
        <f t="shared" si="14"/>
        <v>33</v>
      </c>
      <c r="L444" s="1">
        <f t="shared" si="15"/>
        <v>0.75</v>
      </c>
    </row>
    <row r="445" spans="1:12" x14ac:dyDescent="0.2">
      <c r="A445">
        <v>505</v>
      </c>
      <c r="B445" t="s">
        <v>190</v>
      </c>
      <c r="C445">
        <v>48</v>
      </c>
      <c r="D445">
        <v>25</v>
      </c>
      <c r="E445">
        <v>11</v>
      </c>
      <c r="F445" t="s">
        <v>703</v>
      </c>
      <c r="G445" t="s">
        <v>700</v>
      </c>
      <c r="H445" t="str">
        <f>VLOOKUP(B445,ColesStoreData!$B:$F,2,0)</f>
        <v>SA</v>
      </c>
      <c r="I445">
        <f>VLOOKUP(B445,ColesStoreData!$B:$F,3,0)</f>
        <v>9047</v>
      </c>
      <c r="J445">
        <f>VLOOKUP(B445,ColesStoreData!$B:$F,5,0)</f>
        <v>1700</v>
      </c>
      <c r="K445">
        <f t="shared" si="14"/>
        <v>14</v>
      </c>
      <c r="L445" s="1">
        <f t="shared" si="15"/>
        <v>0.56000000000000005</v>
      </c>
    </row>
    <row r="446" spans="1:12" x14ac:dyDescent="0.2">
      <c r="A446">
        <v>506</v>
      </c>
      <c r="B446" t="s">
        <v>189</v>
      </c>
      <c r="C446">
        <v>24</v>
      </c>
      <c r="D446">
        <v>31</v>
      </c>
      <c r="E446">
        <v>10</v>
      </c>
      <c r="F446" t="s">
        <v>703</v>
      </c>
      <c r="G446" t="s">
        <v>700</v>
      </c>
      <c r="H446" t="str">
        <f>VLOOKUP(B446,ColesStoreData!$B:$F,2,0)</f>
        <v>NSW</v>
      </c>
      <c r="I446">
        <f>VLOOKUP(B446,ColesStoreData!$B:$F,3,0)</f>
        <v>6851</v>
      </c>
      <c r="J446">
        <f>VLOOKUP(B446,ColesStoreData!$B:$F,5,0)</f>
        <v>1700</v>
      </c>
      <c r="K446">
        <f t="shared" si="14"/>
        <v>21</v>
      </c>
      <c r="L446" s="1">
        <f t="shared" si="15"/>
        <v>0.67741935483870963</v>
      </c>
    </row>
    <row r="447" spans="1:12" x14ac:dyDescent="0.2">
      <c r="A447">
        <v>507</v>
      </c>
      <c r="B447" t="s">
        <v>188</v>
      </c>
      <c r="C447">
        <v>43</v>
      </c>
      <c r="D447">
        <v>57</v>
      </c>
      <c r="E447">
        <v>10</v>
      </c>
      <c r="F447" t="s">
        <v>703</v>
      </c>
      <c r="G447" t="s">
        <v>702</v>
      </c>
      <c r="H447" t="str">
        <f>VLOOKUP(B447,ColesStoreData!$B:$F,2,0)</f>
        <v>WA</v>
      </c>
      <c r="I447">
        <f>VLOOKUP(B447,ColesStoreData!$B:$F,3,0)</f>
        <v>27873</v>
      </c>
      <c r="J447">
        <f>VLOOKUP(B447,ColesStoreData!$B:$F,5,0)</f>
        <v>2500</v>
      </c>
      <c r="K447">
        <f t="shared" si="14"/>
        <v>47</v>
      </c>
      <c r="L447" s="1">
        <f t="shared" si="15"/>
        <v>0.82456140350877194</v>
      </c>
    </row>
    <row r="448" spans="1:12" x14ac:dyDescent="0.2">
      <c r="A448">
        <v>508</v>
      </c>
      <c r="B448" t="s">
        <v>187</v>
      </c>
      <c r="C448">
        <v>30</v>
      </c>
      <c r="D448">
        <v>41</v>
      </c>
      <c r="E448">
        <v>6</v>
      </c>
      <c r="F448" t="s">
        <v>701</v>
      </c>
      <c r="G448" t="s">
        <v>702</v>
      </c>
      <c r="H448" t="str">
        <f>VLOOKUP(B448,ColesStoreData!$B:$F,2,0)</f>
        <v>VIC</v>
      </c>
      <c r="I448">
        <f>VLOOKUP(B448,ColesStoreData!$B:$F,3,0)</f>
        <v>9465</v>
      </c>
      <c r="J448">
        <f>VLOOKUP(B448,ColesStoreData!$B:$F,5,0)</f>
        <v>1700</v>
      </c>
      <c r="K448">
        <f t="shared" si="14"/>
        <v>35</v>
      </c>
      <c r="L448" s="1">
        <f t="shared" si="15"/>
        <v>0.85365853658536583</v>
      </c>
    </row>
    <row r="449" spans="1:12" x14ac:dyDescent="0.2">
      <c r="A449">
        <v>509</v>
      </c>
      <c r="B449" t="s">
        <v>186</v>
      </c>
      <c r="C449">
        <v>48</v>
      </c>
      <c r="D449">
        <v>37</v>
      </c>
      <c r="E449">
        <v>4</v>
      </c>
      <c r="F449" t="s">
        <v>701</v>
      </c>
      <c r="G449" t="s">
        <v>700</v>
      </c>
      <c r="H449" t="str">
        <f>VLOOKUP(B449,ColesStoreData!$B:$F,2,0)</f>
        <v>SA</v>
      </c>
      <c r="I449">
        <f>VLOOKUP(B449,ColesStoreData!$B:$F,3,0)</f>
        <v>6792</v>
      </c>
      <c r="J449">
        <f>VLOOKUP(B449,ColesStoreData!$B:$F,5,0)</f>
        <v>1700</v>
      </c>
      <c r="K449">
        <f t="shared" si="14"/>
        <v>33</v>
      </c>
      <c r="L449" s="1">
        <f t="shared" si="15"/>
        <v>0.89189189189189189</v>
      </c>
    </row>
    <row r="450" spans="1:12" x14ac:dyDescent="0.2">
      <c r="A450">
        <v>510</v>
      </c>
      <c r="B450" t="s">
        <v>185</v>
      </c>
      <c r="C450">
        <v>42</v>
      </c>
      <c r="D450">
        <v>44</v>
      </c>
      <c r="E450">
        <v>12</v>
      </c>
      <c r="F450" t="s">
        <v>703</v>
      </c>
      <c r="G450" t="s">
        <v>700</v>
      </c>
      <c r="H450" t="str">
        <f>VLOOKUP(B450,ColesStoreData!$B:$F,2,0)</f>
        <v>QLD</v>
      </c>
      <c r="I450">
        <f>VLOOKUP(B450,ColesStoreData!$B:$F,3,0)</f>
        <v>9341</v>
      </c>
      <c r="J450">
        <f>VLOOKUP(B450,ColesStoreData!$B:$F,5,0)</f>
        <v>1700</v>
      </c>
      <c r="K450">
        <f t="shared" si="14"/>
        <v>32</v>
      </c>
      <c r="L450" s="1">
        <f t="shared" si="15"/>
        <v>0.72727272727272729</v>
      </c>
    </row>
    <row r="451" spans="1:12" x14ac:dyDescent="0.2">
      <c r="A451">
        <v>511</v>
      </c>
      <c r="B451" t="s">
        <v>184</v>
      </c>
      <c r="C451">
        <v>47</v>
      </c>
      <c r="D451">
        <v>29</v>
      </c>
      <c r="E451">
        <v>9</v>
      </c>
      <c r="F451" t="s">
        <v>701</v>
      </c>
      <c r="G451" t="s">
        <v>700</v>
      </c>
      <c r="H451" t="str">
        <f>VLOOKUP(B451,ColesStoreData!$B:$F,2,0)</f>
        <v>SA</v>
      </c>
      <c r="I451">
        <f>VLOOKUP(B451,ColesStoreData!$B:$F,3,0)</f>
        <v>9235</v>
      </c>
      <c r="J451">
        <f>VLOOKUP(B451,ColesStoreData!$B:$F,5,0)</f>
        <v>1700</v>
      </c>
      <c r="K451">
        <f t="shared" si="14"/>
        <v>20</v>
      </c>
      <c r="L451" s="1">
        <f t="shared" si="15"/>
        <v>0.68965517241379315</v>
      </c>
    </row>
    <row r="452" spans="1:12" x14ac:dyDescent="0.2">
      <c r="A452">
        <v>512</v>
      </c>
      <c r="B452" t="s">
        <v>183</v>
      </c>
      <c r="C452">
        <v>49</v>
      </c>
      <c r="D452">
        <v>27</v>
      </c>
      <c r="E452">
        <v>7</v>
      </c>
      <c r="F452" t="s">
        <v>701</v>
      </c>
      <c r="G452" t="s">
        <v>700</v>
      </c>
      <c r="H452" t="str">
        <f>VLOOKUP(B452,ColesStoreData!$B:$F,2,0)</f>
        <v>ACT</v>
      </c>
      <c r="I452">
        <f>VLOOKUP(B452,ColesStoreData!$B:$F,3,0)</f>
        <v>9630</v>
      </c>
      <c r="J452">
        <f>VLOOKUP(B452,ColesStoreData!$B:$F,5,0)</f>
        <v>1700</v>
      </c>
      <c r="K452">
        <f t="shared" si="14"/>
        <v>20</v>
      </c>
      <c r="L452" s="1">
        <f t="shared" si="15"/>
        <v>0.7407407407407407</v>
      </c>
    </row>
    <row r="453" spans="1:12" x14ac:dyDescent="0.2">
      <c r="A453">
        <v>513</v>
      </c>
      <c r="B453" t="s">
        <v>182</v>
      </c>
      <c r="C453">
        <v>41</v>
      </c>
      <c r="D453">
        <v>40</v>
      </c>
      <c r="E453">
        <v>2</v>
      </c>
      <c r="F453" t="s">
        <v>703</v>
      </c>
      <c r="G453" t="s">
        <v>700</v>
      </c>
      <c r="H453" t="str">
        <f>VLOOKUP(B453,ColesStoreData!$B:$F,2,0)</f>
        <v>QLD</v>
      </c>
      <c r="I453">
        <f>VLOOKUP(B453,ColesStoreData!$B:$F,3,0)</f>
        <v>9839</v>
      </c>
      <c r="J453">
        <f>VLOOKUP(B453,ColesStoreData!$B:$F,5,0)</f>
        <v>1700</v>
      </c>
      <c r="K453">
        <f t="shared" si="14"/>
        <v>38</v>
      </c>
      <c r="L453" s="1">
        <f t="shared" si="15"/>
        <v>0.95</v>
      </c>
    </row>
    <row r="454" spans="1:12" x14ac:dyDescent="0.2">
      <c r="A454">
        <v>514</v>
      </c>
      <c r="B454" t="s">
        <v>181</v>
      </c>
      <c r="C454">
        <v>30</v>
      </c>
      <c r="D454">
        <v>26</v>
      </c>
      <c r="E454">
        <v>15</v>
      </c>
      <c r="F454" t="s">
        <v>703</v>
      </c>
      <c r="G454" t="s">
        <v>700</v>
      </c>
      <c r="H454" t="str">
        <f>VLOOKUP(B454,ColesStoreData!$B:$F,2,0)</f>
        <v>VIC</v>
      </c>
      <c r="I454">
        <f>VLOOKUP(B454,ColesStoreData!$B:$F,3,0)</f>
        <v>9697</v>
      </c>
      <c r="J454">
        <f>VLOOKUP(B454,ColesStoreData!$B:$F,5,0)</f>
        <v>1700</v>
      </c>
      <c r="K454">
        <f t="shared" ref="K454:K513" si="16">D454-E454</f>
        <v>11</v>
      </c>
      <c r="L454" s="1">
        <f t="shared" si="15"/>
        <v>0.42307692307692307</v>
      </c>
    </row>
    <row r="455" spans="1:12" x14ac:dyDescent="0.2">
      <c r="A455">
        <v>515</v>
      </c>
      <c r="B455" t="s">
        <v>180</v>
      </c>
      <c r="C455">
        <v>32</v>
      </c>
      <c r="D455">
        <v>36</v>
      </c>
      <c r="E455">
        <v>7</v>
      </c>
      <c r="F455" t="s">
        <v>703</v>
      </c>
      <c r="G455" t="s">
        <v>700</v>
      </c>
      <c r="H455" t="str">
        <f>VLOOKUP(B455,ColesStoreData!$B:$F,2,0)</f>
        <v>VIC</v>
      </c>
      <c r="I455">
        <f>VLOOKUP(B455,ColesStoreData!$B:$F,3,0)</f>
        <v>9018</v>
      </c>
      <c r="J455">
        <f>VLOOKUP(B455,ColesStoreData!$B:$F,5,0)</f>
        <v>1700</v>
      </c>
      <c r="K455">
        <f t="shared" si="16"/>
        <v>29</v>
      </c>
      <c r="L455" s="1">
        <f t="shared" si="15"/>
        <v>0.80555555555555558</v>
      </c>
    </row>
    <row r="456" spans="1:12" x14ac:dyDescent="0.2">
      <c r="A456">
        <v>516</v>
      </c>
      <c r="B456" t="s">
        <v>179</v>
      </c>
      <c r="C456">
        <v>44</v>
      </c>
      <c r="D456">
        <v>42</v>
      </c>
      <c r="E456">
        <v>11</v>
      </c>
      <c r="F456" t="s">
        <v>703</v>
      </c>
      <c r="G456" t="s">
        <v>700</v>
      </c>
      <c r="H456" t="str">
        <f>VLOOKUP(B456,ColesStoreData!$B:$F,2,0)</f>
        <v>WA</v>
      </c>
      <c r="I456">
        <f>VLOOKUP(B456,ColesStoreData!$B:$F,3,0)</f>
        <v>6246</v>
      </c>
      <c r="J456">
        <f>VLOOKUP(B456,ColesStoreData!$B:$F,5,0)</f>
        <v>1700</v>
      </c>
      <c r="K456">
        <f t="shared" si="16"/>
        <v>31</v>
      </c>
      <c r="L456" s="1">
        <f t="shared" si="15"/>
        <v>0.73809523809523814</v>
      </c>
    </row>
    <row r="457" spans="1:12" x14ac:dyDescent="0.2">
      <c r="A457">
        <v>517</v>
      </c>
      <c r="B457" t="s">
        <v>178</v>
      </c>
      <c r="C457">
        <v>26</v>
      </c>
      <c r="D457">
        <v>56</v>
      </c>
      <c r="E457">
        <v>12</v>
      </c>
      <c r="F457" t="s">
        <v>701</v>
      </c>
      <c r="G457" t="s">
        <v>702</v>
      </c>
      <c r="H457" t="str">
        <f>VLOOKUP(B457,ColesStoreData!$B:$F,2,0)</f>
        <v>NSW</v>
      </c>
      <c r="I457">
        <f>VLOOKUP(B457,ColesStoreData!$B:$F,3,0)</f>
        <v>20702</v>
      </c>
      <c r="J457">
        <f>VLOOKUP(B457,ColesStoreData!$B:$F,5,0)</f>
        <v>2500</v>
      </c>
      <c r="K457">
        <f t="shared" si="16"/>
        <v>44</v>
      </c>
      <c r="L457" s="1">
        <f t="shared" si="15"/>
        <v>0.7857142857142857</v>
      </c>
    </row>
    <row r="458" spans="1:12" x14ac:dyDescent="0.2">
      <c r="A458">
        <v>518</v>
      </c>
      <c r="B458" t="s">
        <v>177</v>
      </c>
      <c r="C458">
        <v>44</v>
      </c>
      <c r="D458">
        <v>54</v>
      </c>
      <c r="E458">
        <v>9</v>
      </c>
      <c r="F458" t="s">
        <v>703</v>
      </c>
      <c r="G458" t="s">
        <v>702</v>
      </c>
      <c r="H458" t="str">
        <f>VLOOKUP(B458,ColesStoreData!$B:$F,2,0)</f>
        <v>WA</v>
      </c>
      <c r="I458">
        <f>VLOOKUP(B458,ColesStoreData!$B:$F,3,0)</f>
        <v>29932</v>
      </c>
      <c r="J458">
        <f>VLOOKUP(B458,ColesStoreData!$B:$F,5,0)</f>
        <v>2500</v>
      </c>
      <c r="K458">
        <f t="shared" si="16"/>
        <v>45</v>
      </c>
      <c r="L458" s="1">
        <f t="shared" si="15"/>
        <v>0.83333333333333337</v>
      </c>
    </row>
    <row r="459" spans="1:12" x14ac:dyDescent="0.2">
      <c r="A459">
        <v>519</v>
      </c>
      <c r="B459" t="s">
        <v>176</v>
      </c>
      <c r="C459">
        <v>37</v>
      </c>
      <c r="D459">
        <v>55</v>
      </c>
      <c r="E459">
        <v>4</v>
      </c>
      <c r="F459" t="s">
        <v>703</v>
      </c>
      <c r="G459" t="s">
        <v>702</v>
      </c>
      <c r="H459" t="str">
        <f>VLOOKUP(B459,ColesStoreData!$B:$F,2,0)</f>
        <v>QLD</v>
      </c>
      <c r="I459">
        <f>VLOOKUP(B459,ColesStoreData!$B:$F,3,0)</f>
        <v>51210</v>
      </c>
      <c r="J459">
        <f>VLOOKUP(B459,ColesStoreData!$B:$F,5,0)</f>
        <v>2500</v>
      </c>
      <c r="K459">
        <f t="shared" si="16"/>
        <v>51</v>
      </c>
      <c r="L459" s="1">
        <f t="shared" si="15"/>
        <v>0.92727272727272725</v>
      </c>
    </row>
    <row r="460" spans="1:12" x14ac:dyDescent="0.2">
      <c r="A460">
        <v>520</v>
      </c>
      <c r="B460" t="s">
        <v>175</v>
      </c>
      <c r="C460">
        <v>36</v>
      </c>
      <c r="D460">
        <v>27</v>
      </c>
      <c r="E460">
        <v>14</v>
      </c>
      <c r="F460" t="s">
        <v>701</v>
      </c>
      <c r="G460" t="s">
        <v>700</v>
      </c>
      <c r="H460" t="str">
        <f>VLOOKUP(B460,ColesStoreData!$B:$F,2,0)</f>
        <v>VIC</v>
      </c>
      <c r="I460">
        <f>VLOOKUP(B460,ColesStoreData!$B:$F,3,0)</f>
        <v>6176</v>
      </c>
      <c r="J460">
        <f>VLOOKUP(B460,ColesStoreData!$B:$F,5,0)</f>
        <v>1700</v>
      </c>
      <c r="K460">
        <f t="shared" si="16"/>
        <v>13</v>
      </c>
      <c r="L460" s="1">
        <f t="shared" si="15"/>
        <v>0.48148148148148145</v>
      </c>
    </row>
    <row r="461" spans="1:12" x14ac:dyDescent="0.2">
      <c r="A461">
        <v>522</v>
      </c>
      <c r="B461" t="s">
        <v>173</v>
      </c>
      <c r="C461">
        <v>45</v>
      </c>
      <c r="D461">
        <v>38</v>
      </c>
      <c r="E461">
        <v>12</v>
      </c>
      <c r="F461" t="s">
        <v>703</v>
      </c>
      <c r="G461" t="s">
        <v>700</v>
      </c>
      <c r="H461" t="str">
        <f>VLOOKUP(B461,ColesStoreData!$B:$F,2,0)</f>
        <v>WA</v>
      </c>
      <c r="I461">
        <f>VLOOKUP(B461,ColesStoreData!$B:$F,3,0)</f>
        <v>7501</v>
      </c>
      <c r="J461">
        <f>VLOOKUP(B461,ColesStoreData!$B:$F,5,0)</f>
        <v>1700</v>
      </c>
      <c r="K461">
        <f t="shared" si="16"/>
        <v>26</v>
      </c>
      <c r="L461" s="1">
        <f t="shared" si="15"/>
        <v>0.68421052631578949</v>
      </c>
    </row>
    <row r="462" spans="1:12" x14ac:dyDescent="0.2">
      <c r="A462">
        <v>523</v>
      </c>
      <c r="B462" t="s">
        <v>172</v>
      </c>
      <c r="C462">
        <v>40</v>
      </c>
      <c r="D462">
        <v>58</v>
      </c>
      <c r="E462">
        <v>15</v>
      </c>
      <c r="F462" t="s">
        <v>701</v>
      </c>
      <c r="G462" t="s">
        <v>702</v>
      </c>
      <c r="H462" t="str">
        <f>VLOOKUP(B462,ColesStoreData!$B:$F,2,0)</f>
        <v>QLD</v>
      </c>
      <c r="I462">
        <f>VLOOKUP(B462,ColesStoreData!$B:$F,3,0)</f>
        <v>53556</v>
      </c>
      <c r="J462">
        <f>VLOOKUP(B462,ColesStoreData!$B:$F,5,0)</f>
        <v>2700</v>
      </c>
      <c r="K462">
        <f t="shared" si="16"/>
        <v>43</v>
      </c>
      <c r="L462" s="1">
        <f t="shared" si="15"/>
        <v>0.74137931034482762</v>
      </c>
    </row>
    <row r="463" spans="1:12" x14ac:dyDescent="0.2">
      <c r="A463">
        <v>524</v>
      </c>
      <c r="B463" t="s">
        <v>171</v>
      </c>
      <c r="C463">
        <v>48</v>
      </c>
      <c r="D463">
        <v>54</v>
      </c>
      <c r="E463">
        <v>10</v>
      </c>
      <c r="F463" t="s">
        <v>701</v>
      </c>
      <c r="G463" t="s">
        <v>700</v>
      </c>
      <c r="H463" t="str">
        <f>VLOOKUP(B463,ColesStoreData!$B:$F,2,0)</f>
        <v>SA</v>
      </c>
      <c r="I463">
        <f>VLOOKUP(B463,ColesStoreData!$B:$F,3,0)</f>
        <v>18383</v>
      </c>
      <c r="J463">
        <f>VLOOKUP(B463,ColesStoreData!$B:$F,5,0)</f>
        <v>2500</v>
      </c>
      <c r="K463">
        <f t="shared" si="16"/>
        <v>44</v>
      </c>
      <c r="L463" s="1">
        <f t="shared" si="15"/>
        <v>0.81481481481481477</v>
      </c>
    </row>
    <row r="464" spans="1:12" x14ac:dyDescent="0.2">
      <c r="A464">
        <v>525</v>
      </c>
      <c r="B464" t="s">
        <v>170</v>
      </c>
      <c r="C464">
        <v>25</v>
      </c>
      <c r="D464">
        <v>27</v>
      </c>
      <c r="E464">
        <v>12</v>
      </c>
      <c r="F464" t="s">
        <v>701</v>
      </c>
      <c r="G464" t="s">
        <v>700</v>
      </c>
      <c r="H464" t="str">
        <f>VLOOKUP(B464,ColesStoreData!$B:$F,2,0)</f>
        <v>NSW</v>
      </c>
      <c r="I464">
        <f>VLOOKUP(B464,ColesStoreData!$B:$F,3,0)</f>
        <v>8738</v>
      </c>
      <c r="J464">
        <f>VLOOKUP(B464,ColesStoreData!$B:$F,5,0)</f>
        <v>1700</v>
      </c>
      <c r="K464">
        <f t="shared" si="16"/>
        <v>15</v>
      </c>
      <c r="L464" s="1">
        <f t="shared" si="15"/>
        <v>0.55555555555555558</v>
      </c>
    </row>
    <row r="465" spans="1:12" x14ac:dyDescent="0.2">
      <c r="A465">
        <v>526</v>
      </c>
      <c r="B465" t="s">
        <v>169</v>
      </c>
      <c r="C465">
        <v>39</v>
      </c>
      <c r="D465">
        <v>39</v>
      </c>
      <c r="E465">
        <v>12</v>
      </c>
      <c r="F465" t="s">
        <v>703</v>
      </c>
      <c r="G465" t="s">
        <v>700</v>
      </c>
      <c r="H465" t="str">
        <f>VLOOKUP(B465,ColesStoreData!$B:$F,2,0)</f>
        <v>QLD</v>
      </c>
      <c r="I465">
        <f>VLOOKUP(B465,ColesStoreData!$B:$F,3,0)</f>
        <v>9423</v>
      </c>
      <c r="J465">
        <f>VLOOKUP(B465,ColesStoreData!$B:$F,5,0)</f>
        <v>1700</v>
      </c>
      <c r="K465">
        <f t="shared" si="16"/>
        <v>27</v>
      </c>
      <c r="L465" s="1">
        <f t="shared" si="15"/>
        <v>0.69230769230769229</v>
      </c>
    </row>
    <row r="466" spans="1:12" x14ac:dyDescent="0.2">
      <c r="A466">
        <v>527</v>
      </c>
      <c r="B466" t="s">
        <v>168</v>
      </c>
      <c r="C466">
        <v>44</v>
      </c>
      <c r="D466">
        <v>50</v>
      </c>
      <c r="E466">
        <v>6</v>
      </c>
      <c r="F466" t="s">
        <v>703</v>
      </c>
      <c r="G466" t="s">
        <v>702</v>
      </c>
      <c r="H466" t="str">
        <f>VLOOKUP(B466,ColesStoreData!$B:$F,2,0)</f>
        <v>WA</v>
      </c>
      <c r="I466">
        <f>VLOOKUP(B466,ColesStoreData!$B:$F,3,0)</f>
        <v>7219</v>
      </c>
      <c r="J466">
        <f>VLOOKUP(B466,ColesStoreData!$B:$F,5,0)</f>
        <v>1900</v>
      </c>
      <c r="K466">
        <f t="shared" si="16"/>
        <v>44</v>
      </c>
      <c r="L466" s="1">
        <f t="shared" si="15"/>
        <v>0.88</v>
      </c>
    </row>
    <row r="467" spans="1:12" x14ac:dyDescent="0.2">
      <c r="A467">
        <v>528</v>
      </c>
      <c r="B467" t="s">
        <v>167</v>
      </c>
      <c r="C467">
        <v>24</v>
      </c>
      <c r="D467">
        <v>33</v>
      </c>
      <c r="E467">
        <v>13</v>
      </c>
      <c r="F467" t="s">
        <v>701</v>
      </c>
      <c r="G467" t="s">
        <v>700</v>
      </c>
      <c r="H467" t="str">
        <f>VLOOKUP(B467,ColesStoreData!$B:$F,2,0)</f>
        <v>NSW</v>
      </c>
      <c r="I467">
        <f>VLOOKUP(B467,ColesStoreData!$B:$F,3,0)</f>
        <v>6071</v>
      </c>
      <c r="J467">
        <f>VLOOKUP(B467,ColesStoreData!$B:$F,5,0)</f>
        <v>1700</v>
      </c>
      <c r="K467">
        <f t="shared" si="16"/>
        <v>20</v>
      </c>
      <c r="L467" s="1">
        <f t="shared" si="15"/>
        <v>0.60606060606060608</v>
      </c>
    </row>
    <row r="468" spans="1:12" x14ac:dyDescent="0.2">
      <c r="A468">
        <v>529</v>
      </c>
      <c r="B468" t="s">
        <v>166</v>
      </c>
      <c r="C468">
        <v>45</v>
      </c>
      <c r="D468">
        <v>37</v>
      </c>
      <c r="E468">
        <v>9</v>
      </c>
      <c r="F468" t="s">
        <v>701</v>
      </c>
      <c r="G468" t="s">
        <v>700</v>
      </c>
      <c r="H468" t="str">
        <f>VLOOKUP(B468,ColesStoreData!$B:$F,2,0)</f>
        <v>WA</v>
      </c>
      <c r="I468">
        <f>VLOOKUP(B468,ColesStoreData!$B:$F,3,0)</f>
        <v>7989</v>
      </c>
      <c r="J468">
        <f>VLOOKUP(B468,ColesStoreData!$B:$F,5,0)</f>
        <v>1700</v>
      </c>
      <c r="K468">
        <f t="shared" si="16"/>
        <v>28</v>
      </c>
      <c r="L468" s="1">
        <f t="shared" si="15"/>
        <v>0.7567567567567568</v>
      </c>
    </row>
    <row r="469" spans="1:12" x14ac:dyDescent="0.2">
      <c r="A469">
        <v>530</v>
      </c>
      <c r="B469" t="s">
        <v>165</v>
      </c>
      <c r="C469">
        <v>25</v>
      </c>
      <c r="D469">
        <v>49</v>
      </c>
      <c r="E469">
        <v>15</v>
      </c>
      <c r="F469" t="s">
        <v>701</v>
      </c>
      <c r="G469" t="s">
        <v>702</v>
      </c>
      <c r="H469" t="str">
        <f>VLOOKUP(B469,ColesStoreData!$B:$F,2,0)</f>
        <v>NSW</v>
      </c>
      <c r="I469">
        <f>VLOOKUP(B469,ColesStoreData!$B:$F,3,0)</f>
        <v>6203</v>
      </c>
      <c r="J469">
        <f>VLOOKUP(B469,ColesStoreData!$B:$F,5,0)</f>
        <v>1900</v>
      </c>
      <c r="K469">
        <f t="shared" si="16"/>
        <v>34</v>
      </c>
      <c r="L469" s="1">
        <f t="shared" si="15"/>
        <v>0.69387755102040816</v>
      </c>
    </row>
    <row r="470" spans="1:12" x14ac:dyDescent="0.2">
      <c r="A470">
        <v>531</v>
      </c>
      <c r="B470" t="s">
        <v>164</v>
      </c>
      <c r="C470">
        <v>44</v>
      </c>
      <c r="D470">
        <v>28</v>
      </c>
      <c r="E470">
        <v>8</v>
      </c>
      <c r="F470" t="s">
        <v>701</v>
      </c>
      <c r="G470" t="s">
        <v>700</v>
      </c>
      <c r="H470" t="str">
        <f>VLOOKUP(B470,ColesStoreData!$B:$F,2,0)</f>
        <v>WA</v>
      </c>
      <c r="I470">
        <f>VLOOKUP(B470,ColesStoreData!$B:$F,3,0)</f>
        <v>6667</v>
      </c>
      <c r="J470">
        <f>VLOOKUP(B470,ColesStoreData!$B:$F,5,0)</f>
        <v>1700</v>
      </c>
      <c r="K470">
        <f t="shared" si="16"/>
        <v>20</v>
      </c>
      <c r="L470" s="1">
        <f t="shared" si="15"/>
        <v>0.7142857142857143</v>
      </c>
    </row>
    <row r="471" spans="1:12" x14ac:dyDescent="0.2">
      <c r="A471">
        <v>532</v>
      </c>
      <c r="B471" t="s">
        <v>163</v>
      </c>
      <c r="C471">
        <v>21</v>
      </c>
      <c r="D471">
        <v>57</v>
      </c>
      <c r="E471">
        <v>4</v>
      </c>
      <c r="F471" t="s">
        <v>703</v>
      </c>
      <c r="G471" t="s">
        <v>702</v>
      </c>
      <c r="H471" t="str">
        <f>VLOOKUP(B471,ColesStoreData!$B:$F,2,0)</f>
        <v>NSW</v>
      </c>
      <c r="I471">
        <f>VLOOKUP(B471,ColesStoreData!$B:$F,3,0)</f>
        <v>15308</v>
      </c>
      <c r="J471">
        <f>VLOOKUP(B471,ColesStoreData!$B:$F,5,0)</f>
        <v>2700</v>
      </c>
      <c r="K471">
        <f t="shared" si="16"/>
        <v>53</v>
      </c>
      <c r="L471" s="1">
        <f t="shared" si="15"/>
        <v>0.92982456140350878</v>
      </c>
    </row>
    <row r="472" spans="1:12" x14ac:dyDescent="0.2">
      <c r="A472">
        <v>533</v>
      </c>
      <c r="B472" t="s">
        <v>162</v>
      </c>
      <c r="C472">
        <v>42</v>
      </c>
      <c r="D472">
        <v>60</v>
      </c>
      <c r="E472">
        <v>12</v>
      </c>
      <c r="F472" t="s">
        <v>701</v>
      </c>
      <c r="G472" t="s">
        <v>702</v>
      </c>
      <c r="H472" t="str">
        <f>VLOOKUP(B472,ColesStoreData!$B:$F,2,0)</f>
        <v>QLD</v>
      </c>
      <c r="I472">
        <f>VLOOKUP(B472,ColesStoreData!$B:$F,3,0)</f>
        <v>51174</v>
      </c>
      <c r="J472">
        <f>VLOOKUP(B472,ColesStoreData!$B:$F,5,0)</f>
        <v>2700</v>
      </c>
      <c r="K472">
        <f t="shared" si="16"/>
        <v>48</v>
      </c>
      <c r="L472" s="1">
        <f t="shared" si="15"/>
        <v>0.8</v>
      </c>
    </row>
    <row r="473" spans="1:12" x14ac:dyDescent="0.2">
      <c r="A473">
        <v>534</v>
      </c>
      <c r="B473" t="s">
        <v>161</v>
      </c>
      <c r="C473">
        <v>30</v>
      </c>
      <c r="D473">
        <v>25</v>
      </c>
      <c r="E473">
        <v>11</v>
      </c>
      <c r="F473" t="s">
        <v>701</v>
      </c>
      <c r="G473" t="s">
        <v>700</v>
      </c>
      <c r="H473" t="str">
        <f>VLOOKUP(B473,ColesStoreData!$B:$F,2,0)</f>
        <v>VIC</v>
      </c>
      <c r="I473">
        <f>VLOOKUP(B473,ColesStoreData!$B:$F,3,0)</f>
        <v>9876</v>
      </c>
      <c r="J473">
        <f>VLOOKUP(B473,ColesStoreData!$B:$F,5,0)</f>
        <v>1700</v>
      </c>
      <c r="K473">
        <f t="shared" si="16"/>
        <v>14</v>
      </c>
      <c r="L473" s="1">
        <f t="shared" si="15"/>
        <v>0.56000000000000005</v>
      </c>
    </row>
    <row r="474" spans="1:12" x14ac:dyDescent="0.2">
      <c r="A474">
        <v>535</v>
      </c>
      <c r="B474" t="s">
        <v>160</v>
      </c>
      <c r="C474">
        <v>46</v>
      </c>
      <c r="D474">
        <v>55</v>
      </c>
      <c r="E474">
        <v>8</v>
      </c>
      <c r="F474" t="s">
        <v>701</v>
      </c>
      <c r="G474" t="s">
        <v>702</v>
      </c>
      <c r="H474" t="str">
        <f>VLOOKUP(B474,ColesStoreData!$B:$F,2,0)</f>
        <v>WA</v>
      </c>
      <c r="I474">
        <f>VLOOKUP(B474,ColesStoreData!$B:$F,3,0)</f>
        <v>36959</v>
      </c>
      <c r="J474">
        <f>VLOOKUP(B474,ColesStoreData!$B:$F,5,0)</f>
        <v>2500</v>
      </c>
      <c r="K474">
        <f t="shared" si="16"/>
        <v>47</v>
      </c>
      <c r="L474" s="1">
        <f t="shared" si="15"/>
        <v>0.8545454545454545</v>
      </c>
    </row>
    <row r="475" spans="1:12" x14ac:dyDescent="0.2">
      <c r="A475">
        <v>536</v>
      </c>
      <c r="B475" t="s">
        <v>159</v>
      </c>
      <c r="C475">
        <v>32</v>
      </c>
      <c r="D475">
        <v>54</v>
      </c>
      <c r="E475">
        <v>12</v>
      </c>
      <c r="F475" t="s">
        <v>703</v>
      </c>
      <c r="G475" t="s">
        <v>702</v>
      </c>
      <c r="H475" t="str">
        <f>VLOOKUP(B475,ColesStoreData!$B:$F,2,0)</f>
        <v>VIC</v>
      </c>
      <c r="I475">
        <f>VLOOKUP(B475,ColesStoreData!$B:$F,3,0)</f>
        <v>16886</v>
      </c>
      <c r="J475">
        <f>VLOOKUP(B475,ColesStoreData!$B:$F,5,0)</f>
        <v>2500</v>
      </c>
      <c r="K475">
        <f t="shared" si="16"/>
        <v>42</v>
      </c>
      <c r="L475" s="1">
        <f t="shared" si="15"/>
        <v>0.77777777777777779</v>
      </c>
    </row>
    <row r="476" spans="1:12" x14ac:dyDescent="0.2">
      <c r="A476">
        <v>537</v>
      </c>
      <c r="B476" t="s">
        <v>158</v>
      </c>
      <c r="C476">
        <v>22</v>
      </c>
      <c r="D476">
        <v>34</v>
      </c>
      <c r="E476">
        <v>12</v>
      </c>
      <c r="F476" t="s">
        <v>703</v>
      </c>
      <c r="G476" t="s">
        <v>702</v>
      </c>
      <c r="H476" t="str">
        <f>VLOOKUP(B476,ColesStoreData!$B:$F,2,0)</f>
        <v>NSW</v>
      </c>
      <c r="I476">
        <f>VLOOKUP(B476,ColesStoreData!$B:$F,3,0)</f>
        <v>7234</v>
      </c>
      <c r="J476">
        <f>VLOOKUP(B476,ColesStoreData!$B:$F,5,0)</f>
        <v>1700</v>
      </c>
      <c r="K476">
        <f t="shared" si="16"/>
        <v>22</v>
      </c>
      <c r="L476" s="1">
        <f t="shared" si="15"/>
        <v>0.6470588235294118</v>
      </c>
    </row>
    <row r="477" spans="1:12" x14ac:dyDescent="0.2">
      <c r="A477">
        <v>538</v>
      </c>
      <c r="B477" t="s">
        <v>157</v>
      </c>
      <c r="C477">
        <v>50</v>
      </c>
      <c r="D477">
        <v>52</v>
      </c>
      <c r="E477">
        <v>13</v>
      </c>
      <c r="F477" t="s">
        <v>701</v>
      </c>
      <c r="G477" t="s">
        <v>700</v>
      </c>
      <c r="H477" t="str">
        <f>VLOOKUP(B477,ColesStoreData!$B:$F,2,0)</f>
        <v>NT</v>
      </c>
      <c r="I477">
        <f>VLOOKUP(B477,ColesStoreData!$B:$F,3,0)</f>
        <v>6570</v>
      </c>
      <c r="J477">
        <f>VLOOKUP(B477,ColesStoreData!$B:$F,5,0)</f>
        <v>1900</v>
      </c>
      <c r="K477">
        <f t="shared" si="16"/>
        <v>39</v>
      </c>
      <c r="L477" s="1">
        <f t="shared" si="15"/>
        <v>0.75</v>
      </c>
    </row>
    <row r="478" spans="1:12" x14ac:dyDescent="0.2">
      <c r="A478">
        <v>540</v>
      </c>
      <c r="B478" t="s">
        <v>155</v>
      </c>
      <c r="C478">
        <v>40</v>
      </c>
      <c r="D478">
        <v>48</v>
      </c>
      <c r="E478">
        <v>12</v>
      </c>
      <c r="F478" t="s">
        <v>703</v>
      </c>
      <c r="G478" t="s">
        <v>700</v>
      </c>
      <c r="H478" t="str">
        <f>VLOOKUP(B478,ColesStoreData!$B:$F,2,0)</f>
        <v>QLD</v>
      </c>
      <c r="I478">
        <f>VLOOKUP(B478,ColesStoreData!$B:$F,3,0)</f>
        <v>7724</v>
      </c>
      <c r="J478">
        <f>VLOOKUP(B478,ColesStoreData!$B:$F,5,0)</f>
        <v>1900</v>
      </c>
      <c r="K478">
        <f t="shared" si="16"/>
        <v>36</v>
      </c>
      <c r="L478" s="1">
        <f t="shared" si="15"/>
        <v>0.75</v>
      </c>
    </row>
    <row r="479" spans="1:12" x14ac:dyDescent="0.2">
      <c r="A479">
        <v>541</v>
      </c>
      <c r="B479" t="s">
        <v>154</v>
      </c>
      <c r="C479">
        <v>36</v>
      </c>
      <c r="D479">
        <v>32</v>
      </c>
      <c r="E479">
        <v>6</v>
      </c>
      <c r="F479" t="s">
        <v>701</v>
      </c>
      <c r="G479" t="s">
        <v>700</v>
      </c>
      <c r="H479" t="str">
        <f>VLOOKUP(B479,ColesStoreData!$B:$F,2,0)</f>
        <v>VIC</v>
      </c>
      <c r="I479">
        <f>VLOOKUP(B479,ColesStoreData!$B:$F,3,0)</f>
        <v>8033</v>
      </c>
      <c r="J479">
        <f>VLOOKUP(B479,ColesStoreData!$B:$F,5,0)</f>
        <v>1700</v>
      </c>
      <c r="K479">
        <f t="shared" si="16"/>
        <v>26</v>
      </c>
      <c r="L479" s="1">
        <f t="shared" si="15"/>
        <v>0.8125</v>
      </c>
    </row>
    <row r="480" spans="1:12" x14ac:dyDescent="0.2">
      <c r="A480">
        <v>542</v>
      </c>
      <c r="B480" t="s">
        <v>153</v>
      </c>
      <c r="C480">
        <v>41</v>
      </c>
      <c r="D480">
        <v>45</v>
      </c>
      <c r="E480">
        <v>7</v>
      </c>
      <c r="F480" t="s">
        <v>703</v>
      </c>
      <c r="G480" t="s">
        <v>700</v>
      </c>
      <c r="H480" t="str">
        <f>VLOOKUP(B480,ColesStoreData!$B:$F,2,0)</f>
        <v>QLD</v>
      </c>
      <c r="I480">
        <f>VLOOKUP(B480,ColesStoreData!$B:$F,3,0)</f>
        <v>9848</v>
      </c>
      <c r="J480">
        <f>VLOOKUP(B480,ColesStoreData!$B:$F,5,0)</f>
        <v>1900</v>
      </c>
      <c r="K480">
        <f t="shared" si="16"/>
        <v>38</v>
      </c>
      <c r="L480" s="1">
        <f t="shared" si="15"/>
        <v>0.84444444444444444</v>
      </c>
    </row>
    <row r="481" spans="1:12" x14ac:dyDescent="0.2">
      <c r="A481">
        <v>543</v>
      </c>
      <c r="B481" t="s">
        <v>152</v>
      </c>
      <c r="C481">
        <v>26</v>
      </c>
      <c r="D481">
        <v>32</v>
      </c>
      <c r="E481">
        <v>14</v>
      </c>
      <c r="F481" t="s">
        <v>703</v>
      </c>
      <c r="G481" t="s">
        <v>700</v>
      </c>
      <c r="H481" t="str">
        <f>VLOOKUP(B481,ColesStoreData!$B:$F,2,0)</f>
        <v>NSW</v>
      </c>
      <c r="I481">
        <f>VLOOKUP(B481,ColesStoreData!$B:$F,3,0)</f>
        <v>7576</v>
      </c>
      <c r="J481">
        <f>VLOOKUP(B481,ColesStoreData!$B:$F,5,0)</f>
        <v>1700</v>
      </c>
      <c r="K481">
        <f t="shared" si="16"/>
        <v>18</v>
      </c>
      <c r="L481" s="1">
        <f t="shared" si="15"/>
        <v>0.5625</v>
      </c>
    </row>
    <row r="482" spans="1:12" x14ac:dyDescent="0.2">
      <c r="A482">
        <v>544</v>
      </c>
      <c r="B482" t="s">
        <v>151</v>
      </c>
      <c r="C482">
        <v>39</v>
      </c>
      <c r="D482">
        <v>60</v>
      </c>
      <c r="E482">
        <v>13</v>
      </c>
      <c r="F482" t="s">
        <v>701</v>
      </c>
      <c r="G482" t="s">
        <v>702</v>
      </c>
      <c r="H482" t="str">
        <f>VLOOKUP(B482,ColesStoreData!$B:$F,2,0)</f>
        <v>QLD</v>
      </c>
      <c r="I482">
        <f>VLOOKUP(B482,ColesStoreData!$B:$F,3,0)</f>
        <v>33400</v>
      </c>
      <c r="J482">
        <f>VLOOKUP(B482,ColesStoreData!$B:$F,5,0)</f>
        <v>2700</v>
      </c>
      <c r="K482">
        <f t="shared" si="16"/>
        <v>47</v>
      </c>
      <c r="L482" s="1">
        <f t="shared" si="15"/>
        <v>0.78333333333333333</v>
      </c>
    </row>
    <row r="483" spans="1:12" x14ac:dyDescent="0.2">
      <c r="A483">
        <v>545</v>
      </c>
      <c r="B483" t="s">
        <v>150</v>
      </c>
      <c r="C483">
        <v>33</v>
      </c>
      <c r="D483">
        <v>58</v>
      </c>
      <c r="E483">
        <v>14</v>
      </c>
      <c r="F483" t="s">
        <v>703</v>
      </c>
      <c r="G483" t="s">
        <v>702</v>
      </c>
      <c r="H483" t="str">
        <f>VLOOKUP(B483,ColesStoreData!$B:$F,2,0)</f>
        <v>VIC</v>
      </c>
      <c r="I483">
        <f>VLOOKUP(B483,ColesStoreData!$B:$F,3,0)</f>
        <v>10393</v>
      </c>
      <c r="J483">
        <f>VLOOKUP(B483,ColesStoreData!$B:$F,5,0)</f>
        <v>2700</v>
      </c>
      <c r="K483">
        <f t="shared" si="16"/>
        <v>44</v>
      </c>
      <c r="L483" s="1">
        <f t="shared" si="15"/>
        <v>0.75862068965517238</v>
      </c>
    </row>
    <row r="484" spans="1:12" x14ac:dyDescent="0.2">
      <c r="A484">
        <v>546</v>
      </c>
      <c r="B484" t="s">
        <v>149</v>
      </c>
      <c r="C484">
        <v>32</v>
      </c>
      <c r="D484">
        <v>36</v>
      </c>
      <c r="E484">
        <v>13</v>
      </c>
      <c r="F484" t="s">
        <v>703</v>
      </c>
      <c r="G484" t="s">
        <v>700</v>
      </c>
      <c r="H484" t="str">
        <f>VLOOKUP(B484,ColesStoreData!$B:$F,2,0)</f>
        <v>VIC</v>
      </c>
      <c r="I484">
        <f>VLOOKUP(B484,ColesStoreData!$B:$F,3,0)</f>
        <v>6920</v>
      </c>
      <c r="J484">
        <f>VLOOKUP(B484,ColesStoreData!$B:$F,5,0)</f>
        <v>1700</v>
      </c>
      <c r="K484">
        <f t="shared" si="16"/>
        <v>23</v>
      </c>
      <c r="L484" s="1">
        <f t="shared" si="15"/>
        <v>0.63888888888888884</v>
      </c>
    </row>
    <row r="485" spans="1:12" x14ac:dyDescent="0.2">
      <c r="A485">
        <v>547</v>
      </c>
      <c r="B485" t="s">
        <v>148</v>
      </c>
      <c r="C485">
        <v>40</v>
      </c>
      <c r="D485">
        <v>51</v>
      </c>
      <c r="E485">
        <v>15</v>
      </c>
      <c r="F485" t="s">
        <v>701</v>
      </c>
      <c r="G485" t="s">
        <v>700</v>
      </c>
      <c r="H485" t="str">
        <f>VLOOKUP(B485,ColesStoreData!$B:$F,2,0)</f>
        <v>QLD</v>
      </c>
      <c r="I485">
        <f>VLOOKUP(B485,ColesStoreData!$B:$F,3,0)</f>
        <v>9892</v>
      </c>
      <c r="J485">
        <f>VLOOKUP(B485,ColesStoreData!$B:$F,5,0)</f>
        <v>1900</v>
      </c>
      <c r="K485">
        <f t="shared" si="16"/>
        <v>36</v>
      </c>
      <c r="L485" s="1">
        <f t="shared" si="15"/>
        <v>0.70588235294117652</v>
      </c>
    </row>
    <row r="486" spans="1:12" x14ac:dyDescent="0.2">
      <c r="A486">
        <v>548</v>
      </c>
      <c r="B486" t="s">
        <v>147</v>
      </c>
      <c r="C486">
        <v>36</v>
      </c>
      <c r="D486">
        <v>28</v>
      </c>
      <c r="E486">
        <v>9</v>
      </c>
      <c r="F486" t="s">
        <v>703</v>
      </c>
      <c r="G486" t="s">
        <v>700</v>
      </c>
      <c r="H486" t="str">
        <f>VLOOKUP(B486,ColesStoreData!$B:$F,2,0)</f>
        <v>VIC</v>
      </c>
      <c r="I486">
        <f>VLOOKUP(B486,ColesStoreData!$B:$F,3,0)</f>
        <v>8841</v>
      </c>
      <c r="J486">
        <f>VLOOKUP(B486,ColesStoreData!$B:$F,5,0)</f>
        <v>1700</v>
      </c>
      <c r="K486">
        <f t="shared" si="16"/>
        <v>19</v>
      </c>
      <c r="L486" s="1">
        <f t="shared" si="15"/>
        <v>0.6785714285714286</v>
      </c>
    </row>
    <row r="487" spans="1:12" x14ac:dyDescent="0.2">
      <c r="A487">
        <v>549</v>
      </c>
      <c r="B487" t="s">
        <v>146</v>
      </c>
      <c r="C487">
        <v>22</v>
      </c>
      <c r="D487">
        <v>34</v>
      </c>
      <c r="E487">
        <v>11</v>
      </c>
      <c r="F487" t="s">
        <v>703</v>
      </c>
      <c r="G487" t="s">
        <v>702</v>
      </c>
      <c r="H487" t="str">
        <f>VLOOKUP(B487,ColesStoreData!$B:$F,2,0)</f>
        <v>NSW</v>
      </c>
      <c r="I487">
        <f>VLOOKUP(B487,ColesStoreData!$B:$F,3,0)</f>
        <v>9018</v>
      </c>
      <c r="J487">
        <f>VLOOKUP(B487,ColesStoreData!$B:$F,5,0)</f>
        <v>1700</v>
      </c>
      <c r="K487">
        <f t="shared" si="16"/>
        <v>23</v>
      </c>
      <c r="L487" s="1">
        <f t="shared" si="15"/>
        <v>0.67647058823529416</v>
      </c>
    </row>
    <row r="488" spans="1:12" x14ac:dyDescent="0.2">
      <c r="A488">
        <v>550</v>
      </c>
      <c r="B488" t="s">
        <v>145</v>
      </c>
      <c r="C488">
        <v>36</v>
      </c>
      <c r="D488">
        <v>41</v>
      </c>
      <c r="E488">
        <v>8</v>
      </c>
      <c r="F488" t="s">
        <v>701</v>
      </c>
      <c r="G488" t="s">
        <v>700</v>
      </c>
      <c r="H488" t="str">
        <f>VLOOKUP(B488,ColesStoreData!$B:$F,2,0)</f>
        <v>VIC</v>
      </c>
      <c r="I488">
        <f>VLOOKUP(B488,ColesStoreData!$B:$F,3,0)</f>
        <v>8076</v>
      </c>
      <c r="J488">
        <f>VLOOKUP(B488,ColesStoreData!$B:$F,5,0)</f>
        <v>1700</v>
      </c>
      <c r="K488">
        <f t="shared" si="16"/>
        <v>33</v>
      </c>
      <c r="L488" s="1">
        <f t="shared" si="15"/>
        <v>0.80487804878048785</v>
      </c>
    </row>
    <row r="489" spans="1:12" x14ac:dyDescent="0.2">
      <c r="A489">
        <v>551</v>
      </c>
      <c r="B489" t="s">
        <v>144</v>
      </c>
      <c r="C489">
        <v>29</v>
      </c>
      <c r="D489">
        <v>29</v>
      </c>
      <c r="E489">
        <v>11</v>
      </c>
      <c r="F489" t="s">
        <v>703</v>
      </c>
      <c r="G489" t="s">
        <v>700</v>
      </c>
      <c r="H489" t="str">
        <f>VLOOKUP(B489,ColesStoreData!$B:$F,2,0)</f>
        <v>VIC</v>
      </c>
      <c r="I489">
        <f>VLOOKUP(B489,ColesStoreData!$B:$F,3,0)</f>
        <v>7133</v>
      </c>
      <c r="J489">
        <f>VLOOKUP(B489,ColesStoreData!$B:$F,5,0)</f>
        <v>1700</v>
      </c>
      <c r="K489">
        <f t="shared" si="16"/>
        <v>18</v>
      </c>
      <c r="L489" s="1">
        <f t="shared" si="15"/>
        <v>0.62068965517241381</v>
      </c>
    </row>
    <row r="490" spans="1:12" x14ac:dyDescent="0.2">
      <c r="A490">
        <v>552</v>
      </c>
      <c r="B490" t="s">
        <v>143</v>
      </c>
      <c r="C490">
        <v>37</v>
      </c>
      <c r="D490">
        <v>50</v>
      </c>
      <c r="E490">
        <v>12</v>
      </c>
      <c r="F490" t="s">
        <v>703</v>
      </c>
      <c r="G490" t="s">
        <v>702</v>
      </c>
      <c r="H490" t="str">
        <f>VLOOKUP(B490,ColesStoreData!$B:$F,2,0)</f>
        <v>QLD</v>
      </c>
      <c r="I490">
        <f>VLOOKUP(B490,ColesStoreData!$B:$F,3,0)</f>
        <v>6191</v>
      </c>
      <c r="J490">
        <f>VLOOKUP(B490,ColesStoreData!$B:$F,5,0)</f>
        <v>1900</v>
      </c>
      <c r="K490">
        <f t="shared" si="16"/>
        <v>38</v>
      </c>
      <c r="L490" s="1">
        <f t="shared" si="15"/>
        <v>0.76</v>
      </c>
    </row>
    <row r="491" spans="1:12" x14ac:dyDescent="0.2">
      <c r="A491">
        <v>553</v>
      </c>
      <c r="B491" t="s">
        <v>142</v>
      </c>
      <c r="C491">
        <v>38</v>
      </c>
      <c r="D491">
        <v>45</v>
      </c>
      <c r="E491">
        <v>14</v>
      </c>
      <c r="F491" t="s">
        <v>703</v>
      </c>
      <c r="G491" t="s">
        <v>700</v>
      </c>
      <c r="H491" t="str">
        <f>VLOOKUP(B491,ColesStoreData!$B:$F,2,0)</f>
        <v>QLD</v>
      </c>
      <c r="I491">
        <f>VLOOKUP(B491,ColesStoreData!$B:$F,3,0)</f>
        <v>6946</v>
      </c>
      <c r="J491">
        <f>VLOOKUP(B491,ColesStoreData!$B:$F,5,0)</f>
        <v>1900</v>
      </c>
      <c r="K491">
        <f t="shared" si="16"/>
        <v>31</v>
      </c>
      <c r="L491" s="1">
        <f t="shared" si="15"/>
        <v>0.68888888888888888</v>
      </c>
    </row>
    <row r="492" spans="1:12" x14ac:dyDescent="0.2">
      <c r="A492">
        <v>554</v>
      </c>
      <c r="B492" t="s">
        <v>141</v>
      </c>
      <c r="C492">
        <v>37</v>
      </c>
      <c r="D492">
        <v>27</v>
      </c>
      <c r="E492">
        <v>9</v>
      </c>
      <c r="F492" t="s">
        <v>703</v>
      </c>
      <c r="G492" t="s">
        <v>700</v>
      </c>
      <c r="H492" t="str">
        <f>VLOOKUP(B492,ColesStoreData!$B:$F,2,0)</f>
        <v>QLD</v>
      </c>
      <c r="I492">
        <f>VLOOKUP(B492,ColesStoreData!$B:$F,3,0)</f>
        <v>9361</v>
      </c>
      <c r="J492">
        <f>VLOOKUP(B492,ColesStoreData!$B:$F,5,0)</f>
        <v>1700</v>
      </c>
      <c r="K492">
        <f t="shared" si="16"/>
        <v>18</v>
      </c>
      <c r="L492" s="1">
        <f t="shared" si="15"/>
        <v>0.66666666666666663</v>
      </c>
    </row>
    <row r="493" spans="1:12" x14ac:dyDescent="0.2">
      <c r="A493">
        <v>555</v>
      </c>
      <c r="B493" t="s">
        <v>140</v>
      </c>
      <c r="C493">
        <v>29</v>
      </c>
      <c r="D493">
        <v>34</v>
      </c>
      <c r="E493">
        <v>8</v>
      </c>
      <c r="F493" t="s">
        <v>703</v>
      </c>
      <c r="G493" t="s">
        <v>700</v>
      </c>
      <c r="H493" t="str">
        <f>VLOOKUP(B493,ColesStoreData!$B:$F,2,0)</f>
        <v>VIC</v>
      </c>
      <c r="I493">
        <f>VLOOKUP(B493,ColesStoreData!$B:$F,3,0)</f>
        <v>6265</v>
      </c>
      <c r="J493">
        <f>VLOOKUP(B493,ColesStoreData!$B:$F,5,0)</f>
        <v>1700</v>
      </c>
      <c r="K493">
        <f t="shared" si="16"/>
        <v>26</v>
      </c>
      <c r="L493" s="1">
        <f t="shared" si="15"/>
        <v>0.76470588235294112</v>
      </c>
    </row>
    <row r="494" spans="1:12" x14ac:dyDescent="0.2">
      <c r="A494">
        <v>556</v>
      </c>
      <c r="B494" t="s">
        <v>139</v>
      </c>
      <c r="C494">
        <v>40</v>
      </c>
      <c r="D494">
        <v>39</v>
      </c>
      <c r="E494">
        <v>9</v>
      </c>
      <c r="F494" t="s">
        <v>701</v>
      </c>
      <c r="G494" t="s">
        <v>700</v>
      </c>
      <c r="H494" t="str">
        <f>VLOOKUP(B494,ColesStoreData!$B:$F,2,0)</f>
        <v>QLD</v>
      </c>
      <c r="I494">
        <f>VLOOKUP(B494,ColesStoreData!$B:$F,3,0)</f>
        <v>8861</v>
      </c>
      <c r="J494">
        <f>VLOOKUP(B494,ColesStoreData!$B:$F,5,0)</f>
        <v>1700</v>
      </c>
      <c r="K494">
        <f t="shared" si="16"/>
        <v>30</v>
      </c>
      <c r="L494" s="1">
        <f t="shared" si="15"/>
        <v>0.76923076923076927</v>
      </c>
    </row>
    <row r="495" spans="1:12" x14ac:dyDescent="0.2">
      <c r="A495">
        <v>558</v>
      </c>
      <c r="B495" t="s">
        <v>137</v>
      </c>
      <c r="C495">
        <v>35</v>
      </c>
      <c r="D495">
        <v>32</v>
      </c>
      <c r="E495">
        <v>11</v>
      </c>
      <c r="F495" t="s">
        <v>703</v>
      </c>
      <c r="G495" t="s">
        <v>700</v>
      </c>
      <c r="H495" t="str">
        <f>VLOOKUP(B495,ColesStoreData!$B:$F,2,0)</f>
        <v>VIC</v>
      </c>
      <c r="I495">
        <f>VLOOKUP(B495,ColesStoreData!$B:$F,3,0)</f>
        <v>8036</v>
      </c>
      <c r="J495">
        <f>VLOOKUP(B495,ColesStoreData!$B:$F,5,0)</f>
        <v>1700</v>
      </c>
      <c r="K495">
        <f t="shared" si="16"/>
        <v>21</v>
      </c>
      <c r="L495" s="1">
        <f t="shared" si="15"/>
        <v>0.65625</v>
      </c>
    </row>
    <row r="496" spans="1:12" x14ac:dyDescent="0.2">
      <c r="A496">
        <v>559</v>
      </c>
      <c r="B496" t="s">
        <v>136</v>
      </c>
      <c r="C496">
        <v>46</v>
      </c>
      <c r="D496">
        <v>30</v>
      </c>
      <c r="E496">
        <v>10</v>
      </c>
      <c r="F496" t="s">
        <v>703</v>
      </c>
      <c r="G496" t="s">
        <v>700</v>
      </c>
      <c r="H496" t="str">
        <f>VLOOKUP(B496,ColesStoreData!$B:$F,2,0)</f>
        <v>WA</v>
      </c>
      <c r="I496">
        <f>VLOOKUP(B496,ColesStoreData!$B:$F,3,0)</f>
        <v>6293</v>
      </c>
      <c r="J496">
        <f>VLOOKUP(B496,ColesStoreData!$B:$F,5,0)</f>
        <v>1700</v>
      </c>
      <c r="K496">
        <f t="shared" si="16"/>
        <v>20</v>
      </c>
      <c r="L496" s="1">
        <f t="shared" si="15"/>
        <v>0.66666666666666663</v>
      </c>
    </row>
    <row r="497" spans="1:12" x14ac:dyDescent="0.2">
      <c r="A497">
        <v>560</v>
      </c>
      <c r="B497" t="s">
        <v>135</v>
      </c>
      <c r="C497">
        <v>28</v>
      </c>
      <c r="D497">
        <v>43</v>
      </c>
      <c r="E497">
        <v>9</v>
      </c>
      <c r="F497" t="s">
        <v>703</v>
      </c>
      <c r="G497" t="s">
        <v>702</v>
      </c>
      <c r="H497" t="str">
        <f>VLOOKUP(B497,ColesStoreData!$B:$F,2,0)</f>
        <v>NSW</v>
      </c>
      <c r="I497">
        <f>VLOOKUP(B497,ColesStoreData!$B:$F,3,0)</f>
        <v>9161</v>
      </c>
      <c r="J497">
        <f>VLOOKUP(B497,ColesStoreData!$B:$F,5,0)</f>
        <v>1700</v>
      </c>
      <c r="K497">
        <f t="shared" si="16"/>
        <v>34</v>
      </c>
      <c r="L497" s="1">
        <f t="shared" si="15"/>
        <v>0.79069767441860461</v>
      </c>
    </row>
    <row r="498" spans="1:12" x14ac:dyDescent="0.2">
      <c r="A498">
        <v>561</v>
      </c>
      <c r="B498" t="s">
        <v>134</v>
      </c>
      <c r="C498">
        <v>32</v>
      </c>
      <c r="D498">
        <v>44</v>
      </c>
      <c r="E498">
        <v>6</v>
      </c>
      <c r="F498" t="s">
        <v>703</v>
      </c>
      <c r="G498" t="s">
        <v>702</v>
      </c>
      <c r="H498" t="str">
        <f>VLOOKUP(B498,ColesStoreData!$B:$F,2,0)</f>
        <v>VIC</v>
      </c>
      <c r="I498">
        <f>VLOOKUP(B498,ColesStoreData!$B:$F,3,0)</f>
        <v>6227</v>
      </c>
      <c r="J498">
        <f>VLOOKUP(B498,ColesStoreData!$B:$F,5,0)</f>
        <v>1700</v>
      </c>
      <c r="K498">
        <f t="shared" si="16"/>
        <v>38</v>
      </c>
      <c r="L498" s="1">
        <f t="shared" si="15"/>
        <v>0.86363636363636365</v>
      </c>
    </row>
    <row r="499" spans="1:12" x14ac:dyDescent="0.2">
      <c r="A499">
        <v>562</v>
      </c>
      <c r="B499" t="s">
        <v>133</v>
      </c>
      <c r="C499">
        <v>39</v>
      </c>
      <c r="D499">
        <v>41</v>
      </c>
      <c r="E499">
        <v>12</v>
      </c>
      <c r="F499" t="s">
        <v>703</v>
      </c>
      <c r="G499" t="s">
        <v>700</v>
      </c>
      <c r="H499" t="str">
        <f>VLOOKUP(B499,ColesStoreData!$B:$F,2,0)</f>
        <v>QLD</v>
      </c>
      <c r="I499">
        <f>VLOOKUP(B499,ColesStoreData!$B:$F,3,0)</f>
        <v>7180</v>
      </c>
      <c r="J499">
        <f>VLOOKUP(B499,ColesStoreData!$B:$F,5,0)</f>
        <v>1700</v>
      </c>
      <c r="K499">
        <f t="shared" si="16"/>
        <v>29</v>
      </c>
      <c r="L499" s="1">
        <f t="shared" si="15"/>
        <v>0.70731707317073167</v>
      </c>
    </row>
    <row r="500" spans="1:12" x14ac:dyDescent="0.2">
      <c r="A500">
        <v>563</v>
      </c>
      <c r="B500" t="s">
        <v>132</v>
      </c>
      <c r="C500">
        <v>32</v>
      </c>
      <c r="D500">
        <v>57</v>
      </c>
      <c r="E500">
        <v>12</v>
      </c>
      <c r="F500" t="s">
        <v>701</v>
      </c>
      <c r="G500" t="s">
        <v>702</v>
      </c>
      <c r="H500" t="str">
        <f>VLOOKUP(B500,ColesStoreData!$B:$F,2,0)</f>
        <v>VIC</v>
      </c>
      <c r="I500">
        <f>VLOOKUP(B500,ColesStoreData!$B:$F,3,0)</f>
        <v>19887</v>
      </c>
      <c r="J500">
        <f>VLOOKUP(B500,ColesStoreData!$B:$F,5,0)</f>
        <v>2500</v>
      </c>
      <c r="K500">
        <f t="shared" si="16"/>
        <v>45</v>
      </c>
      <c r="L500" s="1">
        <f t="shared" si="15"/>
        <v>0.78947368421052633</v>
      </c>
    </row>
    <row r="501" spans="1:12" x14ac:dyDescent="0.2">
      <c r="A501">
        <v>564</v>
      </c>
      <c r="B501" t="s">
        <v>131</v>
      </c>
      <c r="C501">
        <v>25</v>
      </c>
      <c r="D501">
        <v>56</v>
      </c>
      <c r="E501">
        <v>11</v>
      </c>
      <c r="F501" t="s">
        <v>703</v>
      </c>
      <c r="G501" t="s">
        <v>702</v>
      </c>
      <c r="H501" t="str">
        <f>VLOOKUP(B501,ColesStoreData!$B:$F,2,0)</f>
        <v>NSW</v>
      </c>
      <c r="I501">
        <f>VLOOKUP(B501,ColesStoreData!$B:$F,3,0)</f>
        <v>11268</v>
      </c>
      <c r="J501">
        <f>VLOOKUP(B501,ColesStoreData!$B:$F,5,0)</f>
        <v>2500</v>
      </c>
      <c r="K501">
        <f t="shared" si="16"/>
        <v>45</v>
      </c>
      <c r="L501" s="1">
        <f t="shared" si="15"/>
        <v>0.8035714285714286</v>
      </c>
    </row>
    <row r="502" spans="1:12" x14ac:dyDescent="0.2">
      <c r="A502">
        <v>566</v>
      </c>
      <c r="B502" t="s">
        <v>129</v>
      </c>
      <c r="C502">
        <v>28</v>
      </c>
      <c r="D502">
        <v>44</v>
      </c>
      <c r="E502">
        <v>6</v>
      </c>
      <c r="F502" t="s">
        <v>703</v>
      </c>
      <c r="G502" t="s">
        <v>702</v>
      </c>
      <c r="H502" t="str">
        <f>VLOOKUP(B502,ColesStoreData!$B:$F,2,0)</f>
        <v>NSW</v>
      </c>
      <c r="I502">
        <f>VLOOKUP(B502,ColesStoreData!$B:$F,3,0)</f>
        <v>7544</v>
      </c>
      <c r="J502">
        <f>VLOOKUP(B502,ColesStoreData!$B:$F,5,0)</f>
        <v>1700</v>
      </c>
      <c r="K502">
        <f t="shared" si="16"/>
        <v>38</v>
      </c>
      <c r="L502" s="1">
        <f t="shared" si="15"/>
        <v>0.86363636363636365</v>
      </c>
    </row>
    <row r="503" spans="1:12" x14ac:dyDescent="0.2">
      <c r="A503">
        <v>567</v>
      </c>
      <c r="B503" t="s">
        <v>128</v>
      </c>
      <c r="C503">
        <v>20</v>
      </c>
      <c r="D503">
        <v>55</v>
      </c>
      <c r="E503">
        <v>5</v>
      </c>
      <c r="F503" t="s">
        <v>703</v>
      </c>
      <c r="G503" t="s">
        <v>702</v>
      </c>
      <c r="H503" t="str">
        <f>VLOOKUP(B503,ColesStoreData!$B:$F,2,0)</f>
        <v>NSW</v>
      </c>
      <c r="I503">
        <f>VLOOKUP(B503,ColesStoreData!$B:$F,3,0)</f>
        <v>42538</v>
      </c>
      <c r="J503">
        <f>VLOOKUP(B503,ColesStoreData!$B:$F,5,0)</f>
        <v>2500</v>
      </c>
      <c r="K503">
        <f t="shared" si="16"/>
        <v>50</v>
      </c>
      <c r="L503" s="1">
        <f t="shared" si="15"/>
        <v>0.90909090909090906</v>
      </c>
    </row>
    <row r="504" spans="1:12" x14ac:dyDescent="0.2">
      <c r="A504">
        <v>568</v>
      </c>
      <c r="B504" t="s">
        <v>127</v>
      </c>
      <c r="C504">
        <v>33</v>
      </c>
      <c r="D504">
        <v>35</v>
      </c>
      <c r="E504">
        <v>8</v>
      </c>
      <c r="F504" t="s">
        <v>701</v>
      </c>
      <c r="G504" t="s">
        <v>700</v>
      </c>
      <c r="H504" t="str">
        <f>VLOOKUP(B504,ColesStoreData!$B:$F,2,0)</f>
        <v>VIC</v>
      </c>
      <c r="I504">
        <f>VLOOKUP(B504,ColesStoreData!$B:$F,3,0)</f>
        <v>6068</v>
      </c>
      <c r="J504">
        <f>VLOOKUP(B504,ColesStoreData!$B:$F,5,0)</f>
        <v>1700</v>
      </c>
      <c r="K504">
        <f t="shared" si="16"/>
        <v>27</v>
      </c>
      <c r="L504" s="1">
        <f t="shared" si="15"/>
        <v>0.77142857142857146</v>
      </c>
    </row>
    <row r="505" spans="1:12" x14ac:dyDescent="0.2">
      <c r="A505">
        <v>569</v>
      </c>
      <c r="B505" t="s">
        <v>126</v>
      </c>
      <c r="C505">
        <v>30</v>
      </c>
      <c r="D505">
        <v>25</v>
      </c>
      <c r="E505">
        <v>11</v>
      </c>
      <c r="F505" t="s">
        <v>701</v>
      </c>
      <c r="G505" t="s">
        <v>700</v>
      </c>
      <c r="H505" t="str">
        <f>VLOOKUP(B505,ColesStoreData!$B:$F,2,0)</f>
        <v>VIC</v>
      </c>
      <c r="I505">
        <f>VLOOKUP(B505,ColesStoreData!$B:$F,3,0)</f>
        <v>8407</v>
      </c>
      <c r="J505">
        <f>VLOOKUP(B505,ColesStoreData!$B:$F,5,0)</f>
        <v>1700</v>
      </c>
      <c r="K505">
        <f t="shared" si="16"/>
        <v>14</v>
      </c>
      <c r="L505" s="1">
        <f t="shared" ref="L505:L564" si="17">K505/D505</f>
        <v>0.56000000000000005</v>
      </c>
    </row>
    <row r="506" spans="1:12" x14ac:dyDescent="0.2">
      <c r="A506">
        <v>570</v>
      </c>
      <c r="B506" t="s">
        <v>125</v>
      </c>
      <c r="C506">
        <v>35</v>
      </c>
      <c r="D506">
        <v>33</v>
      </c>
      <c r="E506">
        <v>6</v>
      </c>
      <c r="F506" t="s">
        <v>703</v>
      </c>
      <c r="G506" t="s">
        <v>700</v>
      </c>
      <c r="H506" t="str">
        <f>VLOOKUP(B506,ColesStoreData!$B:$F,2,0)</f>
        <v>VIC</v>
      </c>
      <c r="I506">
        <f>VLOOKUP(B506,ColesStoreData!$B:$F,3,0)</f>
        <v>8894</v>
      </c>
      <c r="J506">
        <f>VLOOKUP(B506,ColesStoreData!$B:$F,5,0)</f>
        <v>1700</v>
      </c>
      <c r="K506">
        <f t="shared" si="16"/>
        <v>27</v>
      </c>
      <c r="L506" s="1">
        <f t="shared" si="17"/>
        <v>0.81818181818181823</v>
      </c>
    </row>
    <row r="507" spans="1:12" x14ac:dyDescent="0.2">
      <c r="A507">
        <v>571</v>
      </c>
      <c r="B507" t="s">
        <v>124</v>
      </c>
      <c r="C507">
        <v>32</v>
      </c>
      <c r="D507">
        <v>31</v>
      </c>
      <c r="E507">
        <v>14</v>
      </c>
      <c r="F507" t="s">
        <v>703</v>
      </c>
      <c r="G507" t="s">
        <v>700</v>
      </c>
      <c r="H507" t="str">
        <f>VLOOKUP(B507,ColesStoreData!$B:$F,2,0)</f>
        <v>VIC</v>
      </c>
      <c r="I507">
        <f>VLOOKUP(B507,ColesStoreData!$B:$F,3,0)</f>
        <v>9612</v>
      </c>
      <c r="J507">
        <f>VLOOKUP(B507,ColesStoreData!$B:$F,5,0)</f>
        <v>1700</v>
      </c>
      <c r="K507">
        <f t="shared" si="16"/>
        <v>17</v>
      </c>
      <c r="L507" s="1">
        <f t="shared" si="17"/>
        <v>0.54838709677419351</v>
      </c>
    </row>
    <row r="508" spans="1:12" x14ac:dyDescent="0.2">
      <c r="A508">
        <v>572</v>
      </c>
      <c r="B508" t="s">
        <v>123</v>
      </c>
      <c r="C508">
        <v>44</v>
      </c>
      <c r="D508">
        <v>32</v>
      </c>
      <c r="E508">
        <v>10</v>
      </c>
      <c r="F508" t="s">
        <v>701</v>
      </c>
      <c r="G508" t="s">
        <v>700</v>
      </c>
      <c r="H508" t="str">
        <f>VLOOKUP(B508,ColesStoreData!$B:$F,2,0)</f>
        <v>WA</v>
      </c>
      <c r="I508">
        <f>VLOOKUP(B508,ColesStoreData!$B:$F,3,0)</f>
        <v>6819</v>
      </c>
      <c r="J508">
        <f>VLOOKUP(B508,ColesStoreData!$B:$F,5,0)</f>
        <v>1700</v>
      </c>
      <c r="K508">
        <f t="shared" si="16"/>
        <v>22</v>
      </c>
      <c r="L508" s="1">
        <f t="shared" si="17"/>
        <v>0.6875</v>
      </c>
    </row>
    <row r="509" spans="1:12" x14ac:dyDescent="0.2">
      <c r="A509">
        <v>573</v>
      </c>
      <c r="B509" t="s">
        <v>122</v>
      </c>
      <c r="C509">
        <v>36</v>
      </c>
      <c r="D509">
        <v>49</v>
      </c>
      <c r="E509">
        <v>13</v>
      </c>
      <c r="F509" t="s">
        <v>701</v>
      </c>
      <c r="G509" t="s">
        <v>702</v>
      </c>
      <c r="H509" t="str">
        <f>VLOOKUP(B509,ColesStoreData!$B:$F,2,0)</f>
        <v>VIC</v>
      </c>
      <c r="I509">
        <f>VLOOKUP(B509,ColesStoreData!$B:$F,3,0)</f>
        <v>9223</v>
      </c>
      <c r="J509">
        <f>VLOOKUP(B509,ColesStoreData!$B:$F,5,0)</f>
        <v>1900</v>
      </c>
      <c r="K509">
        <f t="shared" si="16"/>
        <v>36</v>
      </c>
      <c r="L509" s="1">
        <f t="shared" si="17"/>
        <v>0.73469387755102045</v>
      </c>
    </row>
    <row r="510" spans="1:12" x14ac:dyDescent="0.2">
      <c r="A510">
        <v>574</v>
      </c>
      <c r="B510" t="s">
        <v>121</v>
      </c>
      <c r="C510">
        <v>49</v>
      </c>
      <c r="D510">
        <v>38</v>
      </c>
      <c r="E510">
        <v>5</v>
      </c>
      <c r="F510" t="s">
        <v>703</v>
      </c>
      <c r="G510" t="s">
        <v>700</v>
      </c>
      <c r="H510" t="str">
        <f>VLOOKUP(B510,ColesStoreData!$B:$F,2,0)</f>
        <v>ACT</v>
      </c>
      <c r="I510">
        <f>VLOOKUP(B510,ColesStoreData!$B:$F,3,0)</f>
        <v>9714</v>
      </c>
      <c r="J510">
        <f>VLOOKUP(B510,ColesStoreData!$B:$F,5,0)</f>
        <v>1700</v>
      </c>
      <c r="K510">
        <f t="shared" si="16"/>
        <v>33</v>
      </c>
      <c r="L510" s="1">
        <f t="shared" si="17"/>
        <v>0.86842105263157898</v>
      </c>
    </row>
    <row r="511" spans="1:12" x14ac:dyDescent="0.2">
      <c r="A511">
        <v>575</v>
      </c>
      <c r="B511" t="s">
        <v>120</v>
      </c>
      <c r="C511">
        <v>44</v>
      </c>
      <c r="D511">
        <v>42</v>
      </c>
      <c r="E511">
        <v>4</v>
      </c>
      <c r="F511" t="s">
        <v>703</v>
      </c>
      <c r="G511" t="s">
        <v>700</v>
      </c>
      <c r="H511" t="str">
        <f>VLOOKUP(B511,ColesStoreData!$B:$F,2,0)</f>
        <v>WA</v>
      </c>
      <c r="I511">
        <f>VLOOKUP(B511,ColesStoreData!$B:$F,3,0)</f>
        <v>8772</v>
      </c>
      <c r="J511">
        <f>VLOOKUP(B511,ColesStoreData!$B:$F,5,0)</f>
        <v>1700</v>
      </c>
      <c r="K511">
        <f t="shared" si="16"/>
        <v>38</v>
      </c>
      <c r="L511" s="1">
        <f t="shared" si="17"/>
        <v>0.90476190476190477</v>
      </c>
    </row>
    <row r="512" spans="1:12" x14ac:dyDescent="0.2">
      <c r="A512">
        <v>576</v>
      </c>
      <c r="B512" t="s">
        <v>119</v>
      </c>
      <c r="C512">
        <v>42</v>
      </c>
      <c r="D512">
        <v>39</v>
      </c>
      <c r="E512">
        <v>10</v>
      </c>
      <c r="F512" t="s">
        <v>703</v>
      </c>
      <c r="G512" t="s">
        <v>700</v>
      </c>
      <c r="H512" t="str">
        <f>VLOOKUP(B512,ColesStoreData!$B:$F,2,0)</f>
        <v>QLD</v>
      </c>
      <c r="I512">
        <f>VLOOKUP(B512,ColesStoreData!$B:$F,3,0)</f>
        <v>6408</v>
      </c>
      <c r="J512">
        <f>VLOOKUP(B512,ColesStoreData!$B:$F,5,0)</f>
        <v>1700</v>
      </c>
      <c r="K512">
        <f t="shared" si="16"/>
        <v>29</v>
      </c>
      <c r="L512" s="1">
        <f t="shared" si="17"/>
        <v>0.74358974358974361</v>
      </c>
    </row>
    <row r="513" spans="1:12" x14ac:dyDescent="0.2">
      <c r="A513">
        <v>577</v>
      </c>
      <c r="B513" t="s">
        <v>118</v>
      </c>
      <c r="C513">
        <v>38</v>
      </c>
      <c r="D513">
        <v>42</v>
      </c>
      <c r="E513">
        <v>10</v>
      </c>
      <c r="F513" t="s">
        <v>701</v>
      </c>
      <c r="G513" t="s">
        <v>700</v>
      </c>
      <c r="H513" t="str">
        <f>VLOOKUP(B513,ColesStoreData!$B:$F,2,0)</f>
        <v>QLD</v>
      </c>
      <c r="I513">
        <f>VLOOKUP(B513,ColesStoreData!$B:$F,3,0)</f>
        <v>9204</v>
      </c>
      <c r="J513">
        <f>VLOOKUP(B513,ColesStoreData!$B:$F,5,0)</f>
        <v>1700</v>
      </c>
      <c r="K513">
        <f t="shared" si="16"/>
        <v>32</v>
      </c>
      <c r="L513" s="1">
        <f t="shared" si="17"/>
        <v>0.76190476190476186</v>
      </c>
    </row>
    <row r="514" spans="1:12" x14ac:dyDescent="0.2">
      <c r="A514">
        <v>578</v>
      </c>
      <c r="B514" t="s">
        <v>117</v>
      </c>
      <c r="C514">
        <v>38</v>
      </c>
      <c r="D514">
        <v>29</v>
      </c>
      <c r="E514">
        <v>9</v>
      </c>
      <c r="F514" t="s">
        <v>701</v>
      </c>
      <c r="G514" t="s">
        <v>700</v>
      </c>
      <c r="H514" t="str">
        <f>VLOOKUP(B514,ColesStoreData!$B:$F,2,0)</f>
        <v>QLD</v>
      </c>
      <c r="I514">
        <f>VLOOKUP(B514,ColesStoreData!$B:$F,3,0)</f>
        <v>9410</v>
      </c>
      <c r="J514">
        <f>VLOOKUP(B514,ColesStoreData!$B:$F,5,0)</f>
        <v>1700</v>
      </c>
      <c r="K514">
        <f t="shared" ref="K514:K573" si="18">D514-E514</f>
        <v>20</v>
      </c>
      <c r="L514" s="1">
        <f t="shared" si="17"/>
        <v>0.68965517241379315</v>
      </c>
    </row>
    <row r="515" spans="1:12" x14ac:dyDescent="0.2">
      <c r="A515">
        <v>579</v>
      </c>
      <c r="B515" t="s">
        <v>116</v>
      </c>
      <c r="C515">
        <v>26</v>
      </c>
      <c r="D515">
        <v>40</v>
      </c>
      <c r="E515">
        <v>12</v>
      </c>
      <c r="F515" t="s">
        <v>703</v>
      </c>
      <c r="G515" t="s">
        <v>702</v>
      </c>
      <c r="H515" t="str">
        <f>VLOOKUP(B515,ColesStoreData!$B:$F,2,0)</f>
        <v>NSW</v>
      </c>
      <c r="I515">
        <f>VLOOKUP(B515,ColesStoreData!$B:$F,3,0)</f>
        <v>8180</v>
      </c>
      <c r="J515">
        <f>VLOOKUP(B515,ColesStoreData!$B:$F,5,0)</f>
        <v>1700</v>
      </c>
      <c r="K515">
        <f t="shared" si="18"/>
        <v>28</v>
      </c>
      <c r="L515" s="1">
        <f t="shared" si="17"/>
        <v>0.7</v>
      </c>
    </row>
    <row r="516" spans="1:12" x14ac:dyDescent="0.2">
      <c r="A516">
        <v>580</v>
      </c>
      <c r="B516" t="s">
        <v>115</v>
      </c>
      <c r="C516">
        <v>27</v>
      </c>
      <c r="D516">
        <v>53</v>
      </c>
      <c r="E516">
        <v>9</v>
      </c>
      <c r="F516" t="s">
        <v>703</v>
      </c>
      <c r="G516" t="s">
        <v>702</v>
      </c>
      <c r="H516" t="str">
        <f>VLOOKUP(B516,ColesStoreData!$B:$F,2,0)</f>
        <v>NSW</v>
      </c>
      <c r="I516">
        <f>VLOOKUP(B516,ColesStoreData!$B:$F,3,0)</f>
        <v>9826</v>
      </c>
      <c r="J516">
        <f>VLOOKUP(B516,ColesStoreData!$B:$F,5,0)</f>
        <v>1900</v>
      </c>
      <c r="K516">
        <f t="shared" si="18"/>
        <v>44</v>
      </c>
      <c r="L516" s="1">
        <f t="shared" si="17"/>
        <v>0.83018867924528306</v>
      </c>
    </row>
    <row r="517" spans="1:12" x14ac:dyDescent="0.2">
      <c r="A517">
        <v>581</v>
      </c>
      <c r="B517" t="s">
        <v>114</v>
      </c>
      <c r="C517">
        <v>24</v>
      </c>
      <c r="D517">
        <v>48</v>
      </c>
      <c r="E517">
        <v>14</v>
      </c>
      <c r="F517" t="s">
        <v>701</v>
      </c>
      <c r="G517" t="s">
        <v>702</v>
      </c>
      <c r="H517" t="str">
        <f>VLOOKUP(B517,ColesStoreData!$B:$F,2,0)</f>
        <v>NSW</v>
      </c>
      <c r="I517">
        <f>VLOOKUP(B517,ColesStoreData!$B:$F,3,0)</f>
        <v>6768</v>
      </c>
      <c r="J517">
        <f>VLOOKUP(B517,ColesStoreData!$B:$F,5,0)</f>
        <v>1900</v>
      </c>
      <c r="K517">
        <f t="shared" si="18"/>
        <v>34</v>
      </c>
      <c r="L517" s="1">
        <f t="shared" si="17"/>
        <v>0.70833333333333337</v>
      </c>
    </row>
    <row r="518" spans="1:12" x14ac:dyDescent="0.2">
      <c r="A518">
        <v>582</v>
      </c>
      <c r="B518" t="s">
        <v>113</v>
      </c>
      <c r="C518">
        <v>34</v>
      </c>
      <c r="D518">
        <v>47</v>
      </c>
      <c r="E518">
        <v>11</v>
      </c>
      <c r="F518" t="s">
        <v>703</v>
      </c>
      <c r="G518" t="s">
        <v>702</v>
      </c>
      <c r="H518" t="str">
        <f>VLOOKUP(B518,ColesStoreData!$B:$F,2,0)</f>
        <v>VIC</v>
      </c>
      <c r="I518">
        <f>VLOOKUP(B518,ColesStoreData!$B:$F,3,0)</f>
        <v>8063</v>
      </c>
      <c r="J518">
        <f>VLOOKUP(B518,ColesStoreData!$B:$F,5,0)</f>
        <v>1900</v>
      </c>
      <c r="K518">
        <f t="shared" si="18"/>
        <v>36</v>
      </c>
      <c r="L518" s="1">
        <f t="shared" si="17"/>
        <v>0.76595744680851063</v>
      </c>
    </row>
    <row r="519" spans="1:12" x14ac:dyDescent="0.2">
      <c r="A519">
        <v>583</v>
      </c>
      <c r="B519" t="s">
        <v>112</v>
      </c>
      <c r="C519">
        <v>47</v>
      </c>
      <c r="D519">
        <v>38</v>
      </c>
      <c r="E519">
        <v>16</v>
      </c>
      <c r="F519" t="s">
        <v>701</v>
      </c>
      <c r="G519" t="s">
        <v>700</v>
      </c>
      <c r="H519" t="str">
        <f>VLOOKUP(B519,ColesStoreData!$B:$F,2,0)</f>
        <v>SA</v>
      </c>
      <c r="I519">
        <f>VLOOKUP(B519,ColesStoreData!$B:$F,3,0)</f>
        <v>7054</v>
      </c>
      <c r="J519">
        <f>VLOOKUP(B519,ColesStoreData!$B:$F,5,0)</f>
        <v>1700</v>
      </c>
      <c r="K519">
        <f t="shared" si="18"/>
        <v>22</v>
      </c>
      <c r="L519" s="1">
        <f t="shared" si="17"/>
        <v>0.57894736842105265</v>
      </c>
    </row>
    <row r="520" spans="1:12" x14ac:dyDescent="0.2">
      <c r="A520">
        <v>584</v>
      </c>
      <c r="B520" t="s">
        <v>111</v>
      </c>
      <c r="C520">
        <v>37</v>
      </c>
      <c r="D520">
        <v>54</v>
      </c>
      <c r="E520">
        <v>11</v>
      </c>
      <c r="F520" t="s">
        <v>701</v>
      </c>
      <c r="G520" t="s">
        <v>702</v>
      </c>
      <c r="H520" t="str">
        <f>VLOOKUP(B520,ColesStoreData!$B:$F,2,0)</f>
        <v>VIC</v>
      </c>
      <c r="I520">
        <f>VLOOKUP(B520,ColesStoreData!$B:$F,3,0)</f>
        <v>54810</v>
      </c>
      <c r="J520">
        <f>VLOOKUP(B520,ColesStoreData!$B:$F,5,0)</f>
        <v>2500</v>
      </c>
      <c r="K520">
        <f t="shared" si="18"/>
        <v>43</v>
      </c>
      <c r="L520" s="1">
        <f t="shared" si="17"/>
        <v>0.79629629629629628</v>
      </c>
    </row>
    <row r="521" spans="1:12" x14ac:dyDescent="0.2">
      <c r="A521">
        <v>585</v>
      </c>
      <c r="B521" t="s">
        <v>110</v>
      </c>
      <c r="C521">
        <v>30</v>
      </c>
      <c r="D521">
        <v>43</v>
      </c>
      <c r="E521">
        <v>13</v>
      </c>
      <c r="F521" t="s">
        <v>701</v>
      </c>
      <c r="G521" t="s">
        <v>702</v>
      </c>
      <c r="H521" t="str">
        <f>VLOOKUP(B521,ColesStoreData!$B:$F,2,0)</f>
        <v>VIC</v>
      </c>
      <c r="I521">
        <f>VLOOKUP(B521,ColesStoreData!$B:$F,3,0)</f>
        <v>7825</v>
      </c>
      <c r="J521">
        <f>VLOOKUP(B521,ColesStoreData!$B:$F,5,0)</f>
        <v>1700</v>
      </c>
      <c r="K521">
        <f t="shared" si="18"/>
        <v>30</v>
      </c>
      <c r="L521" s="1">
        <f t="shared" si="17"/>
        <v>0.69767441860465118</v>
      </c>
    </row>
    <row r="522" spans="1:12" x14ac:dyDescent="0.2">
      <c r="A522">
        <v>586</v>
      </c>
      <c r="B522" t="s">
        <v>109</v>
      </c>
      <c r="C522">
        <v>36</v>
      </c>
      <c r="D522">
        <v>49</v>
      </c>
      <c r="E522">
        <v>10</v>
      </c>
      <c r="F522" t="s">
        <v>703</v>
      </c>
      <c r="G522" t="s">
        <v>702</v>
      </c>
      <c r="H522" t="str">
        <f>VLOOKUP(B522,ColesStoreData!$B:$F,2,0)</f>
        <v>VIC</v>
      </c>
      <c r="I522">
        <f>VLOOKUP(B522,ColesStoreData!$B:$F,3,0)</f>
        <v>6909</v>
      </c>
      <c r="J522">
        <f>VLOOKUP(B522,ColesStoreData!$B:$F,5,0)</f>
        <v>1900</v>
      </c>
      <c r="K522">
        <f t="shared" si="18"/>
        <v>39</v>
      </c>
      <c r="L522" s="1">
        <f t="shared" si="17"/>
        <v>0.79591836734693877</v>
      </c>
    </row>
    <row r="523" spans="1:12" x14ac:dyDescent="0.2">
      <c r="A523">
        <v>587</v>
      </c>
      <c r="B523" t="s">
        <v>108</v>
      </c>
      <c r="C523">
        <v>43</v>
      </c>
      <c r="D523">
        <v>49</v>
      </c>
      <c r="E523">
        <v>13</v>
      </c>
      <c r="F523" t="s">
        <v>701</v>
      </c>
      <c r="G523" t="s">
        <v>700</v>
      </c>
      <c r="H523" t="str">
        <f>VLOOKUP(B523,ColesStoreData!$B:$F,2,0)</f>
        <v>QLD</v>
      </c>
      <c r="I523">
        <f>VLOOKUP(B523,ColesStoreData!$B:$F,3,0)</f>
        <v>8744</v>
      </c>
      <c r="J523">
        <f>VLOOKUP(B523,ColesStoreData!$B:$F,5,0)</f>
        <v>1900</v>
      </c>
      <c r="K523">
        <f t="shared" si="18"/>
        <v>36</v>
      </c>
      <c r="L523" s="1">
        <f t="shared" si="17"/>
        <v>0.73469387755102045</v>
      </c>
    </row>
    <row r="524" spans="1:12" x14ac:dyDescent="0.2">
      <c r="A524">
        <v>588</v>
      </c>
      <c r="B524" t="s">
        <v>107</v>
      </c>
      <c r="C524">
        <v>32</v>
      </c>
      <c r="D524">
        <v>29</v>
      </c>
      <c r="E524">
        <v>10</v>
      </c>
      <c r="F524" t="s">
        <v>703</v>
      </c>
      <c r="G524" t="s">
        <v>700</v>
      </c>
      <c r="H524" t="str">
        <f>VLOOKUP(B524,ColesStoreData!$B:$F,2,0)</f>
        <v>VIC</v>
      </c>
      <c r="I524">
        <f>VLOOKUP(B524,ColesStoreData!$B:$F,3,0)</f>
        <v>9398</v>
      </c>
      <c r="J524">
        <f>VLOOKUP(B524,ColesStoreData!$B:$F,5,0)</f>
        <v>1700</v>
      </c>
      <c r="K524">
        <f t="shared" si="18"/>
        <v>19</v>
      </c>
      <c r="L524" s="1">
        <f t="shared" si="17"/>
        <v>0.65517241379310343</v>
      </c>
    </row>
    <row r="525" spans="1:12" x14ac:dyDescent="0.2">
      <c r="A525">
        <v>589</v>
      </c>
      <c r="B525" t="s">
        <v>106</v>
      </c>
      <c r="C525">
        <v>45</v>
      </c>
      <c r="D525">
        <v>57</v>
      </c>
      <c r="E525">
        <v>13</v>
      </c>
      <c r="F525" t="s">
        <v>701</v>
      </c>
      <c r="G525" t="s">
        <v>700</v>
      </c>
      <c r="H525" t="str">
        <f>VLOOKUP(B525,ColesStoreData!$B:$F,2,0)</f>
        <v>WA</v>
      </c>
      <c r="I525">
        <f>VLOOKUP(B525,ColesStoreData!$B:$F,3,0)</f>
        <v>30357</v>
      </c>
      <c r="J525">
        <f>VLOOKUP(B525,ColesStoreData!$B:$F,5,0)</f>
        <v>2500</v>
      </c>
      <c r="K525">
        <f t="shared" si="18"/>
        <v>44</v>
      </c>
      <c r="L525" s="1">
        <f t="shared" si="17"/>
        <v>0.77192982456140347</v>
      </c>
    </row>
    <row r="526" spans="1:12" x14ac:dyDescent="0.2">
      <c r="A526">
        <v>590</v>
      </c>
      <c r="B526" t="s">
        <v>105</v>
      </c>
      <c r="C526">
        <v>40</v>
      </c>
      <c r="D526">
        <v>43</v>
      </c>
      <c r="E526">
        <v>8</v>
      </c>
      <c r="F526" t="s">
        <v>703</v>
      </c>
      <c r="G526" t="s">
        <v>700</v>
      </c>
      <c r="H526" t="str">
        <f>VLOOKUP(B526,ColesStoreData!$B:$F,2,0)</f>
        <v>QLD</v>
      </c>
      <c r="I526">
        <f>VLOOKUP(B526,ColesStoreData!$B:$F,3,0)</f>
        <v>6186</v>
      </c>
      <c r="J526">
        <f>VLOOKUP(B526,ColesStoreData!$B:$F,5,0)</f>
        <v>1700</v>
      </c>
      <c r="K526">
        <f t="shared" si="18"/>
        <v>35</v>
      </c>
      <c r="L526" s="1">
        <f t="shared" si="17"/>
        <v>0.81395348837209303</v>
      </c>
    </row>
    <row r="527" spans="1:12" x14ac:dyDescent="0.2">
      <c r="A527">
        <v>591</v>
      </c>
      <c r="B527" t="s">
        <v>104</v>
      </c>
      <c r="C527">
        <v>29</v>
      </c>
      <c r="D527">
        <v>56</v>
      </c>
      <c r="E527">
        <v>10</v>
      </c>
      <c r="F527" t="s">
        <v>703</v>
      </c>
      <c r="G527" t="s">
        <v>702</v>
      </c>
      <c r="H527" t="str">
        <f>VLOOKUP(B527,ColesStoreData!$B:$F,2,0)</f>
        <v>VIC</v>
      </c>
      <c r="I527">
        <f>VLOOKUP(B527,ColesStoreData!$B:$F,3,0)</f>
        <v>42569</v>
      </c>
      <c r="J527">
        <f>VLOOKUP(B527,ColesStoreData!$B:$F,5,0)</f>
        <v>2500</v>
      </c>
      <c r="K527">
        <f t="shared" si="18"/>
        <v>46</v>
      </c>
      <c r="L527" s="1">
        <f t="shared" si="17"/>
        <v>0.8214285714285714</v>
      </c>
    </row>
    <row r="528" spans="1:12" x14ac:dyDescent="0.2">
      <c r="A528">
        <v>593</v>
      </c>
      <c r="B528" t="s">
        <v>102</v>
      </c>
      <c r="C528">
        <v>49</v>
      </c>
      <c r="D528">
        <v>53</v>
      </c>
      <c r="E528">
        <v>15</v>
      </c>
      <c r="F528" t="s">
        <v>703</v>
      </c>
      <c r="G528" t="s">
        <v>700</v>
      </c>
      <c r="H528" t="str">
        <f>VLOOKUP(B528,ColesStoreData!$B:$F,2,0)</f>
        <v>ACT</v>
      </c>
      <c r="I528">
        <f>VLOOKUP(B528,ColesStoreData!$B:$F,3,0)</f>
        <v>7167</v>
      </c>
      <c r="J528">
        <f>VLOOKUP(B528,ColesStoreData!$B:$F,5,0)</f>
        <v>1900</v>
      </c>
      <c r="K528">
        <f t="shared" si="18"/>
        <v>38</v>
      </c>
      <c r="L528" s="1">
        <f t="shared" si="17"/>
        <v>0.71698113207547165</v>
      </c>
    </row>
    <row r="529" spans="1:12" x14ac:dyDescent="0.2">
      <c r="A529">
        <v>594</v>
      </c>
      <c r="B529" t="s">
        <v>101</v>
      </c>
      <c r="C529">
        <v>20</v>
      </c>
      <c r="D529">
        <v>30</v>
      </c>
      <c r="E529">
        <v>10</v>
      </c>
      <c r="F529" t="s">
        <v>703</v>
      </c>
      <c r="G529" t="s">
        <v>702</v>
      </c>
      <c r="H529" t="str">
        <f>VLOOKUP(B529,ColesStoreData!$B:$F,2,0)</f>
        <v>NSW</v>
      </c>
      <c r="I529">
        <f>VLOOKUP(B529,ColesStoreData!$B:$F,3,0)</f>
        <v>7941</v>
      </c>
      <c r="J529">
        <f>VLOOKUP(B529,ColesStoreData!$B:$F,5,0)</f>
        <v>1700</v>
      </c>
      <c r="K529">
        <f t="shared" si="18"/>
        <v>20</v>
      </c>
      <c r="L529" s="1">
        <f t="shared" si="17"/>
        <v>0.66666666666666663</v>
      </c>
    </row>
    <row r="530" spans="1:12" x14ac:dyDescent="0.2">
      <c r="A530">
        <v>595</v>
      </c>
      <c r="B530" t="s">
        <v>100</v>
      </c>
      <c r="C530">
        <v>36</v>
      </c>
      <c r="D530">
        <v>32</v>
      </c>
      <c r="E530">
        <v>12</v>
      </c>
      <c r="F530" t="s">
        <v>701</v>
      </c>
      <c r="G530" t="s">
        <v>700</v>
      </c>
      <c r="H530" t="str">
        <f>VLOOKUP(B530,ColesStoreData!$B:$F,2,0)</f>
        <v>VIC</v>
      </c>
      <c r="I530">
        <f>VLOOKUP(B530,ColesStoreData!$B:$F,3,0)</f>
        <v>6443</v>
      </c>
      <c r="J530">
        <f>VLOOKUP(B530,ColesStoreData!$B:$F,5,0)</f>
        <v>1700</v>
      </c>
      <c r="K530">
        <f t="shared" si="18"/>
        <v>20</v>
      </c>
      <c r="L530" s="1">
        <f t="shared" si="17"/>
        <v>0.625</v>
      </c>
    </row>
    <row r="531" spans="1:12" x14ac:dyDescent="0.2">
      <c r="A531">
        <v>596</v>
      </c>
      <c r="B531" t="s">
        <v>99</v>
      </c>
      <c r="C531">
        <v>25</v>
      </c>
      <c r="D531">
        <v>47</v>
      </c>
      <c r="E531">
        <v>5</v>
      </c>
      <c r="F531" t="s">
        <v>703</v>
      </c>
      <c r="G531" t="s">
        <v>702</v>
      </c>
      <c r="H531" t="str">
        <f>VLOOKUP(B531,ColesStoreData!$B:$F,2,0)</f>
        <v>NSW</v>
      </c>
      <c r="I531">
        <f>VLOOKUP(B531,ColesStoreData!$B:$F,3,0)</f>
        <v>6631</v>
      </c>
      <c r="J531">
        <f>VLOOKUP(B531,ColesStoreData!$B:$F,5,0)</f>
        <v>1900</v>
      </c>
      <c r="K531">
        <f t="shared" si="18"/>
        <v>42</v>
      </c>
      <c r="L531" s="1">
        <f t="shared" si="17"/>
        <v>0.8936170212765957</v>
      </c>
    </row>
    <row r="532" spans="1:12" x14ac:dyDescent="0.2">
      <c r="A532">
        <v>597</v>
      </c>
      <c r="B532" t="s">
        <v>98</v>
      </c>
      <c r="C532">
        <v>45</v>
      </c>
      <c r="D532">
        <v>54</v>
      </c>
      <c r="E532">
        <v>6</v>
      </c>
      <c r="F532" t="s">
        <v>701</v>
      </c>
      <c r="G532" t="s">
        <v>702</v>
      </c>
      <c r="H532" t="str">
        <f>VLOOKUP(B532,ColesStoreData!$B:$F,2,0)</f>
        <v>WA</v>
      </c>
      <c r="I532">
        <f>VLOOKUP(B532,ColesStoreData!$B:$F,3,0)</f>
        <v>48624</v>
      </c>
      <c r="J532">
        <f>VLOOKUP(B532,ColesStoreData!$B:$F,5,0)</f>
        <v>2500</v>
      </c>
      <c r="K532">
        <f t="shared" si="18"/>
        <v>48</v>
      </c>
      <c r="L532" s="1">
        <f t="shared" si="17"/>
        <v>0.88888888888888884</v>
      </c>
    </row>
    <row r="533" spans="1:12" x14ac:dyDescent="0.2">
      <c r="A533">
        <v>598</v>
      </c>
      <c r="B533" t="s">
        <v>97</v>
      </c>
      <c r="C533">
        <v>24</v>
      </c>
      <c r="D533">
        <v>29</v>
      </c>
      <c r="E533">
        <v>5</v>
      </c>
      <c r="F533" t="s">
        <v>701</v>
      </c>
      <c r="G533" t="s">
        <v>702</v>
      </c>
      <c r="H533" t="str">
        <f>VLOOKUP(B533,ColesStoreData!$B:$F,2,0)</f>
        <v>NSW</v>
      </c>
      <c r="I533">
        <f>VLOOKUP(B533,ColesStoreData!$B:$F,3,0)</f>
        <v>6797</v>
      </c>
      <c r="J533">
        <f>VLOOKUP(B533,ColesStoreData!$B:$F,5,0)</f>
        <v>1700</v>
      </c>
      <c r="K533">
        <f t="shared" si="18"/>
        <v>24</v>
      </c>
      <c r="L533" s="1">
        <f t="shared" si="17"/>
        <v>0.82758620689655171</v>
      </c>
    </row>
    <row r="534" spans="1:12" x14ac:dyDescent="0.2">
      <c r="A534">
        <v>599</v>
      </c>
      <c r="B534" t="s">
        <v>96</v>
      </c>
      <c r="C534">
        <v>43</v>
      </c>
      <c r="D534">
        <v>48</v>
      </c>
      <c r="E534">
        <v>14</v>
      </c>
      <c r="F534" t="s">
        <v>701</v>
      </c>
      <c r="G534" t="s">
        <v>700</v>
      </c>
      <c r="H534" t="str">
        <f>VLOOKUP(B534,ColesStoreData!$B:$F,2,0)</f>
        <v>WA</v>
      </c>
      <c r="I534">
        <f>VLOOKUP(B534,ColesStoreData!$B:$F,3,0)</f>
        <v>8886</v>
      </c>
      <c r="J534">
        <f>VLOOKUP(B534,ColesStoreData!$B:$F,5,0)</f>
        <v>1900</v>
      </c>
      <c r="K534">
        <f t="shared" si="18"/>
        <v>34</v>
      </c>
      <c r="L534" s="1">
        <f t="shared" si="17"/>
        <v>0.70833333333333337</v>
      </c>
    </row>
    <row r="535" spans="1:12" x14ac:dyDescent="0.2">
      <c r="A535">
        <v>600</v>
      </c>
      <c r="B535" t="s">
        <v>95</v>
      </c>
      <c r="C535">
        <v>39</v>
      </c>
      <c r="D535">
        <v>36</v>
      </c>
      <c r="E535">
        <v>10</v>
      </c>
      <c r="F535" t="s">
        <v>703</v>
      </c>
      <c r="G535" t="s">
        <v>700</v>
      </c>
      <c r="H535" t="str">
        <f>VLOOKUP(B535,ColesStoreData!$B:$F,2,0)</f>
        <v>QLD</v>
      </c>
      <c r="I535">
        <f>VLOOKUP(B535,ColesStoreData!$B:$F,3,0)</f>
        <v>6601</v>
      </c>
      <c r="J535">
        <f>VLOOKUP(B535,ColesStoreData!$B:$F,5,0)</f>
        <v>1700</v>
      </c>
      <c r="K535">
        <f t="shared" si="18"/>
        <v>26</v>
      </c>
      <c r="L535" s="1">
        <f t="shared" si="17"/>
        <v>0.72222222222222221</v>
      </c>
    </row>
    <row r="536" spans="1:12" x14ac:dyDescent="0.2">
      <c r="A536">
        <v>602</v>
      </c>
      <c r="B536" t="s">
        <v>93</v>
      </c>
      <c r="C536">
        <v>34</v>
      </c>
      <c r="D536">
        <v>31</v>
      </c>
      <c r="E536">
        <v>12</v>
      </c>
      <c r="F536" t="s">
        <v>703</v>
      </c>
      <c r="G536" t="s">
        <v>700</v>
      </c>
      <c r="H536" t="str">
        <f>VLOOKUP(B536,ColesStoreData!$B:$F,2,0)</f>
        <v>VIC</v>
      </c>
      <c r="I536">
        <f>VLOOKUP(B536,ColesStoreData!$B:$F,3,0)</f>
        <v>6726</v>
      </c>
      <c r="J536">
        <f>VLOOKUP(B536,ColesStoreData!$B:$F,5,0)</f>
        <v>1700</v>
      </c>
      <c r="K536">
        <f t="shared" si="18"/>
        <v>19</v>
      </c>
      <c r="L536" s="1">
        <f t="shared" si="17"/>
        <v>0.61290322580645162</v>
      </c>
    </row>
    <row r="537" spans="1:12" x14ac:dyDescent="0.2">
      <c r="A537">
        <v>604</v>
      </c>
      <c r="B537" t="s">
        <v>91</v>
      </c>
      <c r="C537">
        <v>31</v>
      </c>
      <c r="D537">
        <v>31</v>
      </c>
      <c r="E537">
        <v>5</v>
      </c>
      <c r="F537" t="s">
        <v>701</v>
      </c>
      <c r="G537" t="s">
        <v>700</v>
      </c>
      <c r="H537" t="str">
        <f>VLOOKUP(B537,ColesStoreData!$B:$F,2,0)</f>
        <v>VIC</v>
      </c>
      <c r="I537">
        <f>VLOOKUP(B537,ColesStoreData!$B:$F,3,0)</f>
        <v>6314</v>
      </c>
      <c r="J537">
        <f>VLOOKUP(B537,ColesStoreData!$B:$F,5,0)</f>
        <v>1700</v>
      </c>
      <c r="K537">
        <f t="shared" si="18"/>
        <v>26</v>
      </c>
      <c r="L537" s="1">
        <f t="shared" si="17"/>
        <v>0.83870967741935487</v>
      </c>
    </row>
    <row r="538" spans="1:12" x14ac:dyDescent="0.2">
      <c r="A538">
        <v>605</v>
      </c>
      <c r="B538" t="s">
        <v>90</v>
      </c>
      <c r="C538">
        <v>45</v>
      </c>
      <c r="D538">
        <v>25</v>
      </c>
      <c r="E538">
        <v>13</v>
      </c>
      <c r="F538" t="s">
        <v>701</v>
      </c>
      <c r="G538" t="s">
        <v>700</v>
      </c>
      <c r="H538" t="str">
        <f>VLOOKUP(B538,ColesStoreData!$B:$F,2,0)</f>
        <v>WA</v>
      </c>
      <c r="I538">
        <f>VLOOKUP(B538,ColesStoreData!$B:$F,3,0)</f>
        <v>9809</v>
      </c>
      <c r="J538">
        <f>VLOOKUP(B538,ColesStoreData!$B:$F,5,0)</f>
        <v>1700</v>
      </c>
      <c r="K538">
        <f t="shared" si="18"/>
        <v>12</v>
      </c>
      <c r="L538" s="1">
        <f t="shared" si="17"/>
        <v>0.48</v>
      </c>
    </row>
    <row r="539" spans="1:12" x14ac:dyDescent="0.2">
      <c r="A539">
        <v>606</v>
      </c>
      <c r="B539" t="s">
        <v>89</v>
      </c>
      <c r="C539">
        <v>31</v>
      </c>
      <c r="D539">
        <v>35</v>
      </c>
      <c r="E539">
        <v>16</v>
      </c>
      <c r="F539" t="s">
        <v>701</v>
      </c>
      <c r="G539" t="s">
        <v>700</v>
      </c>
      <c r="H539" t="str">
        <f>VLOOKUP(B539,ColesStoreData!$B:$F,2,0)</f>
        <v>VIC</v>
      </c>
      <c r="I539">
        <f>VLOOKUP(B539,ColesStoreData!$B:$F,3,0)</f>
        <v>9120</v>
      </c>
      <c r="J539">
        <f>VLOOKUP(B539,ColesStoreData!$B:$F,5,0)</f>
        <v>1700</v>
      </c>
      <c r="K539">
        <f t="shared" si="18"/>
        <v>19</v>
      </c>
      <c r="L539" s="1">
        <f t="shared" si="17"/>
        <v>0.54285714285714282</v>
      </c>
    </row>
    <row r="540" spans="1:12" x14ac:dyDescent="0.2">
      <c r="A540">
        <v>607</v>
      </c>
      <c r="B540" t="s">
        <v>88</v>
      </c>
      <c r="C540">
        <v>43</v>
      </c>
      <c r="D540">
        <v>47</v>
      </c>
      <c r="E540">
        <v>7</v>
      </c>
      <c r="F540" t="s">
        <v>703</v>
      </c>
      <c r="G540" t="s">
        <v>700</v>
      </c>
      <c r="H540" t="str">
        <f>VLOOKUP(B540,ColesStoreData!$B:$F,2,0)</f>
        <v>WA</v>
      </c>
      <c r="I540">
        <f>VLOOKUP(B540,ColesStoreData!$B:$F,3,0)</f>
        <v>9091</v>
      </c>
      <c r="J540">
        <f>VLOOKUP(B540,ColesStoreData!$B:$F,5,0)</f>
        <v>1900</v>
      </c>
      <c r="K540">
        <f t="shared" si="18"/>
        <v>40</v>
      </c>
      <c r="L540" s="1">
        <f t="shared" si="17"/>
        <v>0.85106382978723405</v>
      </c>
    </row>
    <row r="541" spans="1:12" x14ac:dyDescent="0.2">
      <c r="A541">
        <v>608</v>
      </c>
      <c r="B541" t="s">
        <v>87</v>
      </c>
      <c r="C541">
        <v>45</v>
      </c>
      <c r="D541">
        <v>47</v>
      </c>
      <c r="E541">
        <v>14</v>
      </c>
      <c r="F541" t="s">
        <v>703</v>
      </c>
      <c r="G541" t="s">
        <v>700</v>
      </c>
      <c r="H541" t="str">
        <f>VLOOKUP(B541,ColesStoreData!$B:$F,2,0)</f>
        <v>WA</v>
      </c>
      <c r="I541">
        <f>VLOOKUP(B541,ColesStoreData!$B:$F,3,0)</f>
        <v>6103</v>
      </c>
      <c r="J541">
        <f>VLOOKUP(B541,ColesStoreData!$B:$F,5,0)</f>
        <v>1900</v>
      </c>
      <c r="K541">
        <f t="shared" si="18"/>
        <v>33</v>
      </c>
      <c r="L541" s="1">
        <f t="shared" si="17"/>
        <v>0.7021276595744681</v>
      </c>
    </row>
    <row r="542" spans="1:12" x14ac:dyDescent="0.2">
      <c r="A542">
        <v>609</v>
      </c>
      <c r="B542" t="s">
        <v>86</v>
      </c>
      <c r="C542">
        <v>27</v>
      </c>
      <c r="D542">
        <v>35</v>
      </c>
      <c r="E542">
        <v>14</v>
      </c>
      <c r="F542" t="s">
        <v>701</v>
      </c>
      <c r="G542" t="s">
        <v>700</v>
      </c>
      <c r="H542" t="str">
        <f>VLOOKUP(B542,ColesStoreData!$B:$F,2,0)</f>
        <v>NSW</v>
      </c>
      <c r="I542">
        <f>VLOOKUP(B542,ColesStoreData!$B:$F,3,0)</f>
        <v>8312</v>
      </c>
      <c r="J542">
        <f>VLOOKUP(B542,ColesStoreData!$B:$F,5,0)</f>
        <v>1700</v>
      </c>
      <c r="K542">
        <f t="shared" si="18"/>
        <v>21</v>
      </c>
      <c r="L542" s="1">
        <f t="shared" si="17"/>
        <v>0.6</v>
      </c>
    </row>
    <row r="543" spans="1:12" x14ac:dyDescent="0.2">
      <c r="A543">
        <v>610</v>
      </c>
      <c r="B543" t="s">
        <v>85</v>
      </c>
      <c r="C543">
        <v>46</v>
      </c>
      <c r="D543">
        <v>51</v>
      </c>
      <c r="E543">
        <v>8</v>
      </c>
      <c r="F543" t="s">
        <v>703</v>
      </c>
      <c r="G543" t="s">
        <v>700</v>
      </c>
      <c r="H543" t="str">
        <f>VLOOKUP(B543,ColesStoreData!$B:$F,2,0)</f>
        <v>WA</v>
      </c>
      <c r="I543">
        <f>VLOOKUP(B543,ColesStoreData!$B:$F,3,0)</f>
        <v>8771</v>
      </c>
      <c r="J543">
        <f>VLOOKUP(B543,ColesStoreData!$B:$F,5,0)</f>
        <v>1900</v>
      </c>
      <c r="K543">
        <f t="shared" si="18"/>
        <v>43</v>
      </c>
      <c r="L543" s="1">
        <f t="shared" si="17"/>
        <v>0.84313725490196079</v>
      </c>
    </row>
    <row r="544" spans="1:12" x14ac:dyDescent="0.2">
      <c r="A544">
        <v>612</v>
      </c>
      <c r="B544" t="s">
        <v>83</v>
      </c>
      <c r="C544">
        <v>20</v>
      </c>
      <c r="D544">
        <v>41</v>
      </c>
      <c r="E544">
        <v>16</v>
      </c>
      <c r="F544" t="s">
        <v>703</v>
      </c>
      <c r="G544" t="s">
        <v>702</v>
      </c>
      <c r="H544" t="str">
        <f>VLOOKUP(B544,ColesStoreData!$B:$F,2,0)</f>
        <v>NSW</v>
      </c>
      <c r="I544">
        <f>VLOOKUP(B544,ColesStoreData!$B:$F,3,0)</f>
        <v>6683</v>
      </c>
      <c r="J544">
        <f>VLOOKUP(B544,ColesStoreData!$B:$F,5,0)</f>
        <v>1700</v>
      </c>
      <c r="K544">
        <f t="shared" si="18"/>
        <v>25</v>
      </c>
      <c r="L544" s="1">
        <f t="shared" si="17"/>
        <v>0.6097560975609756</v>
      </c>
    </row>
    <row r="545" spans="1:12" x14ac:dyDescent="0.2">
      <c r="A545">
        <v>613</v>
      </c>
      <c r="B545" t="s">
        <v>82</v>
      </c>
      <c r="C545">
        <v>49</v>
      </c>
      <c r="D545">
        <v>59</v>
      </c>
      <c r="E545">
        <v>16</v>
      </c>
      <c r="F545" t="s">
        <v>703</v>
      </c>
      <c r="G545" t="s">
        <v>700</v>
      </c>
      <c r="H545" t="str">
        <f>VLOOKUP(B545,ColesStoreData!$B:$F,2,0)</f>
        <v>ACT</v>
      </c>
      <c r="I545">
        <f>VLOOKUP(B545,ColesStoreData!$B:$F,3,0)</f>
        <v>48911</v>
      </c>
      <c r="J545">
        <f>VLOOKUP(B545,ColesStoreData!$B:$F,5,0)</f>
        <v>2700</v>
      </c>
      <c r="K545">
        <f t="shared" si="18"/>
        <v>43</v>
      </c>
      <c r="L545" s="1">
        <f t="shared" si="17"/>
        <v>0.72881355932203384</v>
      </c>
    </row>
    <row r="546" spans="1:12" x14ac:dyDescent="0.2">
      <c r="A546">
        <v>614</v>
      </c>
      <c r="B546" t="s">
        <v>81</v>
      </c>
      <c r="C546">
        <v>37</v>
      </c>
      <c r="D546">
        <v>58</v>
      </c>
      <c r="E546">
        <v>8</v>
      </c>
      <c r="F546" t="s">
        <v>703</v>
      </c>
      <c r="G546" t="s">
        <v>702</v>
      </c>
      <c r="H546" t="str">
        <f>VLOOKUP(B546,ColesStoreData!$B:$F,2,0)</f>
        <v>QLD</v>
      </c>
      <c r="I546">
        <f>VLOOKUP(B546,ColesStoreData!$B:$F,3,0)</f>
        <v>30522</v>
      </c>
      <c r="J546">
        <f>VLOOKUP(B546,ColesStoreData!$B:$F,5,0)</f>
        <v>2700</v>
      </c>
      <c r="K546">
        <f t="shared" si="18"/>
        <v>50</v>
      </c>
      <c r="L546" s="1">
        <f t="shared" si="17"/>
        <v>0.86206896551724133</v>
      </c>
    </row>
    <row r="547" spans="1:12" x14ac:dyDescent="0.2">
      <c r="A547">
        <v>615</v>
      </c>
      <c r="B547" t="s">
        <v>80</v>
      </c>
      <c r="C547">
        <v>27</v>
      </c>
      <c r="D547">
        <v>36</v>
      </c>
      <c r="E547">
        <v>14</v>
      </c>
      <c r="F547" t="s">
        <v>703</v>
      </c>
      <c r="G547" t="s">
        <v>700</v>
      </c>
      <c r="H547" t="str">
        <f>VLOOKUP(B547,ColesStoreData!$B:$F,2,0)</f>
        <v>NSW</v>
      </c>
      <c r="I547">
        <f>VLOOKUP(B547,ColesStoreData!$B:$F,3,0)</f>
        <v>6473</v>
      </c>
      <c r="J547">
        <f>VLOOKUP(B547,ColesStoreData!$B:$F,5,0)</f>
        <v>1700</v>
      </c>
      <c r="K547">
        <f t="shared" si="18"/>
        <v>22</v>
      </c>
      <c r="L547" s="1">
        <f t="shared" si="17"/>
        <v>0.61111111111111116</v>
      </c>
    </row>
    <row r="548" spans="1:12" x14ac:dyDescent="0.2">
      <c r="A548">
        <v>616</v>
      </c>
      <c r="B548" t="s">
        <v>79</v>
      </c>
      <c r="C548">
        <v>28</v>
      </c>
      <c r="D548">
        <v>31</v>
      </c>
      <c r="E548">
        <v>10</v>
      </c>
      <c r="F548" t="s">
        <v>701</v>
      </c>
      <c r="G548" t="s">
        <v>700</v>
      </c>
      <c r="H548" t="str">
        <f>VLOOKUP(B548,ColesStoreData!$B:$F,2,0)</f>
        <v>NSW</v>
      </c>
      <c r="I548">
        <f>VLOOKUP(B548,ColesStoreData!$B:$F,3,0)</f>
        <v>7581</v>
      </c>
      <c r="J548">
        <f>VLOOKUP(B548,ColesStoreData!$B:$F,5,0)</f>
        <v>1700</v>
      </c>
      <c r="K548">
        <f t="shared" si="18"/>
        <v>21</v>
      </c>
      <c r="L548" s="1">
        <f t="shared" si="17"/>
        <v>0.67741935483870963</v>
      </c>
    </row>
    <row r="549" spans="1:12" x14ac:dyDescent="0.2">
      <c r="A549">
        <v>617</v>
      </c>
      <c r="B549" t="s">
        <v>78</v>
      </c>
      <c r="C549">
        <v>37</v>
      </c>
      <c r="D549">
        <v>31</v>
      </c>
      <c r="E549">
        <v>12</v>
      </c>
      <c r="F549" t="s">
        <v>703</v>
      </c>
      <c r="G549" t="s">
        <v>700</v>
      </c>
      <c r="H549" t="str">
        <f>VLOOKUP(B549,ColesStoreData!$B:$F,2,0)</f>
        <v>QLD</v>
      </c>
      <c r="I549">
        <f>VLOOKUP(B549,ColesStoreData!$B:$F,3,0)</f>
        <v>6320</v>
      </c>
      <c r="J549">
        <f>VLOOKUP(B549,ColesStoreData!$B:$F,5,0)</f>
        <v>1700</v>
      </c>
      <c r="K549">
        <f t="shared" si="18"/>
        <v>19</v>
      </c>
      <c r="L549" s="1">
        <f t="shared" si="17"/>
        <v>0.61290322580645162</v>
      </c>
    </row>
    <row r="550" spans="1:12" x14ac:dyDescent="0.2">
      <c r="A550">
        <v>618</v>
      </c>
      <c r="B550" t="s">
        <v>77</v>
      </c>
      <c r="C550">
        <v>24</v>
      </c>
      <c r="D550">
        <v>49</v>
      </c>
      <c r="E550">
        <v>11</v>
      </c>
      <c r="F550" t="s">
        <v>703</v>
      </c>
      <c r="G550" t="s">
        <v>702</v>
      </c>
      <c r="H550" t="str">
        <f>VLOOKUP(B550,ColesStoreData!$B:$F,2,0)</f>
        <v>NSW</v>
      </c>
      <c r="I550">
        <f>VLOOKUP(B550,ColesStoreData!$B:$F,3,0)</f>
        <v>8722</v>
      </c>
      <c r="J550">
        <f>VLOOKUP(B550,ColesStoreData!$B:$F,5,0)</f>
        <v>1900</v>
      </c>
      <c r="K550">
        <f t="shared" si="18"/>
        <v>38</v>
      </c>
      <c r="L550" s="1">
        <f t="shared" si="17"/>
        <v>0.77551020408163263</v>
      </c>
    </row>
    <row r="551" spans="1:12" x14ac:dyDescent="0.2">
      <c r="A551">
        <v>619</v>
      </c>
      <c r="B551" t="s">
        <v>76</v>
      </c>
      <c r="C551">
        <v>43</v>
      </c>
      <c r="D551">
        <v>39</v>
      </c>
      <c r="E551">
        <v>11</v>
      </c>
      <c r="F551" t="s">
        <v>703</v>
      </c>
      <c r="G551" t="s">
        <v>700</v>
      </c>
      <c r="H551" t="str">
        <f>VLOOKUP(B551,ColesStoreData!$B:$F,2,0)</f>
        <v>QLD</v>
      </c>
      <c r="I551">
        <f>VLOOKUP(B551,ColesStoreData!$B:$F,3,0)</f>
        <v>9704</v>
      </c>
      <c r="J551">
        <f>VLOOKUP(B551,ColesStoreData!$B:$F,5,0)</f>
        <v>1700</v>
      </c>
      <c r="K551">
        <f t="shared" si="18"/>
        <v>28</v>
      </c>
      <c r="L551" s="1">
        <f t="shared" si="17"/>
        <v>0.71794871794871795</v>
      </c>
    </row>
    <row r="552" spans="1:12" x14ac:dyDescent="0.2">
      <c r="A552">
        <v>620</v>
      </c>
      <c r="B552" t="s">
        <v>75</v>
      </c>
      <c r="C552">
        <v>50</v>
      </c>
      <c r="D552">
        <v>58</v>
      </c>
      <c r="E552">
        <v>9</v>
      </c>
      <c r="F552" t="s">
        <v>703</v>
      </c>
      <c r="G552" t="s">
        <v>700</v>
      </c>
      <c r="H552" t="str">
        <f>VLOOKUP(B552,ColesStoreData!$B:$F,2,0)</f>
        <v>NT</v>
      </c>
      <c r="I552">
        <f>VLOOKUP(B552,ColesStoreData!$B:$F,3,0)</f>
        <v>41230</v>
      </c>
      <c r="J552">
        <f>VLOOKUP(B552,ColesStoreData!$B:$F,5,0)</f>
        <v>2700</v>
      </c>
      <c r="K552">
        <f t="shared" si="18"/>
        <v>49</v>
      </c>
      <c r="L552" s="1">
        <f t="shared" si="17"/>
        <v>0.84482758620689657</v>
      </c>
    </row>
    <row r="553" spans="1:12" x14ac:dyDescent="0.2">
      <c r="A553">
        <v>621</v>
      </c>
      <c r="B553" t="s">
        <v>74</v>
      </c>
      <c r="C553">
        <v>37</v>
      </c>
      <c r="D553">
        <v>49</v>
      </c>
      <c r="E553">
        <v>9</v>
      </c>
      <c r="F553" t="s">
        <v>701</v>
      </c>
      <c r="G553" t="s">
        <v>702</v>
      </c>
      <c r="H553" t="str">
        <f>VLOOKUP(B553,ColesStoreData!$B:$F,2,0)</f>
        <v>QLD</v>
      </c>
      <c r="I553">
        <f>VLOOKUP(B553,ColesStoreData!$B:$F,3,0)</f>
        <v>8332</v>
      </c>
      <c r="J553">
        <f>VLOOKUP(B553,ColesStoreData!$B:$F,5,0)</f>
        <v>1900</v>
      </c>
      <c r="K553">
        <f t="shared" si="18"/>
        <v>40</v>
      </c>
      <c r="L553" s="1">
        <f t="shared" si="17"/>
        <v>0.81632653061224492</v>
      </c>
    </row>
    <row r="554" spans="1:12" x14ac:dyDescent="0.2">
      <c r="A554">
        <v>622</v>
      </c>
      <c r="B554" t="s">
        <v>73</v>
      </c>
      <c r="C554">
        <v>39</v>
      </c>
      <c r="D554">
        <v>31</v>
      </c>
      <c r="E554">
        <v>12</v>
      </c>
      <c r="F554" t="s">
        <v>701</v>
      </c>
      <c r="G554" t="s">
        <v>700</v>
      </c>
      <c r="H554" t="str">
        <f>VLOOKUP(B554,ColesStoreData!$B:$F,2,0)</f>
        <v>QLD</v>
      </c>
      <c r="I554">
        <f>VLOOKUP(B554,ColesStoreData!$B:$F,3,0)</f>
        <v>8476</v>
      </c>
      <c r="J554">
        <f>VLOOKUP(B554,ColesStoreData!$B:$F,5,0)</f>
        <v>1700</v>
      </c>
      <c r="K554">
        <f t="shared" si="18"/>
        <v>19</v>
      </c>
      <c r="L554" s="1">
        <f t="shared" si="17"/>
        <v>0.61290322580645162</v>
      </c>
    </row>
    <row r="555" spans="1:12" x14ac:dyDescent="0.2">
      <c r="A555">
        <v>623</v>
      </c>
      <c r="B555" t="s">
        <v>72</v>
      </c>
      <c r="C555">
        <v>34</v>
      </c>
      <c r="D555">
        <v>53</v>
      </c>
      <c r="E555">
        <v>9</v>
      </c>
      <c r="F555" t="s">
        <v>701</v>
      </c>
      <c r="G555" t="s">
        <v>702</v>
      </c>
      <c r="H555" t="str">
        <f>VLOOKUP(B555,ColesStoreData!$B:$F,2,0)</f>
        <v>VIC</v>
      </c>
      <c r="I555">
        <f>VLOOKUP(B555,ColesStoreData!$B:$F,3,0)</f>
        <v>7748</v>
      </c>
      <c r="J555">
        <f>VLOOKUP(B555,ColesStoreData!$B:$F,5,0)</f>
        <v>1900</v>
      </c>
      <c r="K555">
        <f t="shared" si="18"/>
        <v>44</v>
      </c>
      <c r="L555" s="1">
        <f t="shared" si="17"/>
        <v>0.83018867924528306</v>
      </c>
    </row>
    <row r="556" spans="1:12" x14ac:dyDescent="0.2">
      <c r="A556">
        <v>624</v>
      </c>
      <c r="B556" t="s">
        <v>71</v>
      </c>
      <c r="C556">
        <v>48</v>
      </c>
      <c r="D556">
        <v>26</v>
      </c>
      <c r="E556">
        <v>9</v>
      </c>
      <c r="F556" t="s">
        <v>703</v>
      </c>
      <c r="G556" t="s">
        <v>700</v>
      </c>
      <c r="H556" t="str">
        <f>VLOOKUP(B556,ColesStoreData!$B:$F,2,0)</f>
        <v>SA</v>
      </c>
      <c r="I556">
        <f>VLOOKUP(B556,ColesStoreData!$B:$F,3,0)</f>
        <v>6936</v>
      </c>
      <c r="J556">
        <f>VLOOKUP(B556,ColesStoreData!$B:$F,5,0)</f>
        <v>1700</v>
      </c>
      <c r="K556">
        <f t="shared" si="18"/>
        <v>17</v>
      </c>
      <c r="L556" s="1">
        <f t="shared" si="17"/>
        <v>0.65384615384615385</v>
      </c>
    </row>
    <row r="557" spans="1:12" x14ac:dyDescent="0.2">
      <c r="A557">
        <v>625</v>
      </c>
      <c r="B557" t="s">
        <v>70</v>
      </c>
      <c r="C557">
        <v>20</v>
      </c>
      <c r="D557">
        <v>41</v>
      </c>
      <c r="E557">
        <v>5</v>
      </c>
      <c r="F557" t="s">
        <v>701</v>
      </c>
      <c r="G557" t="s">
        <v>702</v>
      </c>
      <c r="H557" t="str">
        <f>VLOOKUP(B557,ColesStoreData!$B:$F,2,0)</f>
        <v>NSW</v>
      </c>
      <c r="I557">
        <f>VLOOKUP(B557,ColesStoreData!$B:$F,3,0)</f>
        <v>7081</v>
      </c>
      <c r="J557">
        <f>VLOOKUP(B557,ColesStoreData!$B:$F,5,0)</f>
        <v>1700</v>
      </c>
      <c r="K557">
        <f t="shared" si="18"/>
        <v>36</v>
      </c>
      <c r="L557" s="1">
        <f t="shared" si="17"/>
        <v>0.87804878048780488</v>
      </c>
    </row>
    <row r="558" spans="1:12" x14ac:dyDescent="0.2">
      <c r="A558">
        <v>626</v>
      </c>
      <c r="B558" t="s">
        <v>69</v>
      </c>
      <c r="C558">
        <v>22</v>
      </c>
      <c r="D558">
        <v>55</v>
      </c>
      <c r="E558">
        <v>6</v>
      </c>
      <c r="F558" t="s">
        <v>703</v>
      </c>
      <c r="G558" t="s">
        <v>702</v>
      </c>
      <c r="H558" t="str">
        <f>VLOOKUP(B558,ColesStoreData!$B:$F,2,0)</f>
        <v>NSW</v>
      </c>
      <c r="I558">
        <f>VLOOKUP(B558,ColesStoreData!$B:$F,3,0)</f>
        <v>28031</v>
      </c>
      <c r="J558">
        <f>VLOOKUP(B558,ColesStoreData!$B:$F,5,0)</f>
        <v>2500</v>
      </c>
      <c r="K558">
        <f t="shared" si="18"/>
        <v>49</v>
      </c>
      <c r="L558" s="1">
        <f t="shared" si="17"/>
        <v>0.89090909090909087</v>
      </c>
    </row>
    <row r="559" spans="1:12" x14ac:dyDescent="0.2">
      <c r="A559">
        <v>627</v>
      </c>
      <c r="B559" t="s">
        <v>68</v>
      </c>
      <c r="C559">
        <v>47</v>
      </c>
      <c r="D559">
        <v>45</v>
      </c>
      <c r="E559">
        <v>12</v>
      </c>
      <c r="F559" t="s">
        <v>701</v>
      </c>
      <c r="G559" t="s">
        <v>700</v>
      </c>
      <c r="H559" t="str">
        <f>VLOOKUP(B559,ColesStoreData!$B:$F,2,0)</f>
        <v>WA</v>
      </c>
      <c r="I559">
        <f>VLOOKUP(B559,ColesStoreData!$B:$F,3,0)</f>
        <v>7253</v>
      </c>
      <c r="J559">
        <f>VLOOKUP(B559,ColesStoreData!$B:$F,5,0)</f>
        <v>1900</v>
      </c>
      <c r="K559">
        <f t="shared" si="18"/>
        <v>33</v>
      </c>
      <c r="L559" s="1">
        <f t="shared" si="17"/>
        <v>0.73333333333333328</v>
      </c>
    </row>
    <row r="560" spans="1:12" x14ac:dyDescent="0.2">
      <c r="A560">
        <v>628</v>
      </c>
      <c r="B560" t="s">
        <v>67</v>
      </c>
      <c r="C560">
        <v>29</v>
      </c>
      <c r="D560">
        <v>39</v>
      </c>
      <c r="E560">
        <v>4</v>
      </c>
      <c r="F560" t="s">
        <v>701</v>
      </c>
      <c r="G560" t="s">
        <v>702</v>
      </c>
      <c r="H560" t="str">
        <f>VLOOKUP(B560,ColesStoreData!$B:$F,2,0)</f>
        <v>NSW</v>
      </c>
      <c r="I560">
        <f>VLOOKUP(B560,ColesStoreData!$B:$F,3,0)</f>
        <v>7388</v>
      </c>
      <c r="J560">
        <f>VLOOKUP(B560,ColesStoreData!$B:$F,5,0)</f>
        <v>1700</v>
      </c>
      <c r="K560">
        <f t="shared" si="18"/>
        <v>35</v>
      </c>
      <c r="L560" s="1">
        <f t="shared" si="17"/>
        <v>0.89743589743589747</v>
      </c>
    </row>
    <row r="561" spans="1:12" x14ac:dyDescent="0.2">
      <c r="A561">
        <v>629</v>
      </c>
      <c r="B561" t="s">
        <v>66</v>
      </c>
      <c r="C561">
        <v>29</v>
      </c>
      <c r="D561">
        <v>58</v>
      </c>
      <c r="E561">
        <v>9</v>
      </c>
      <c r="F561" t="s">
        <v>703</v>
      </c>
      <c r="G561" t="s">
        <v>702</v>
      </c>
      <c r="H561" t="str">
        <f>VLOOKUP(B561,ColesStoreData!$B:$F,2,0)</f>
        <v>VIC</v>
      </c>
      <c r="I561">
        <f>VLOOKUP(B561,ColesStoreData!$B:$F,3,0)</f>
        <v>47339</v>
      </c>
      <c r="J561">
        <f>VLOOKUP(B561,ColesStoreData!$B:$F,5,0)</f>
        <v>2700</v>
      </c>
      <c r="K561">
        <f t="shared" si="18"/>
        <v>49</v>
      </c>
      <c r="L561" s="1">
        <f t="shared" si="17"/>
        <v>0.84482758620689657</v>
      </c>
    </row>
    <row r="562" spans="1:12" x14ac:dyDescent="0.2">
      <c r="A562">
        <v>630</v>
      </c>
      <c r="B562" t="s">
        <v>65</v>
      </c>
      <c r="C562">
        <v>31</v>
      </c>
      <c r="D562">
        <v>49</v>
      </c>
      <c r="E562">
        <v>8</v>
      </c>
      <c r="F562" t="s">
        <v>701</v>
      </c>
      <c r="G562" t="s">
        <v>702</v>
      </c>
      <c r="H562" t="str">
        <f>VLOOKUP(B562,ColesStoreData!$B:$F,2,0)</f>
        <v>VIC</v>
      </c>
      <c r="I562">
        <f>VLOOKUP(B562,ColesStoreData!$B:$F,3,0)</f>
        <v>8301</v>
      </c>
      <c r="J562">
        <f>VLOOKUP(B562,ColesStoreData!$B:$F,5,0)</f>
        <v>1900</v>
      </c>
      <c r="K562">
        <f t="shared" si="18"/>
        <v>41</v>
      </c>
      <c r="L562" s="1">
        <f t="shared" si="17"/>
        <v>0.83673469387755106</v>
      </c>
    </row>
    <row r="563" spans="1:12" x14ac:dyDescent="0.2">
      <c r="A563">
        <v>631</v>
      </c>
      <c r="B563" t="s">
        <v>64</v>
      </c>
      <c r="C563">
        <v>33</v>
      </c>
      <c r="D563">
        <v>27</v>
      </c>
      <c r="E563">
        <v>8</v>
      </c>
      <c r="F563" t="s">
        <v>701</v>
      </c>
      <c r="G563" t="s">
        <v>700</v>
      </c>
      <c r="H563" t="str">
        <f>VLOOKUP(B563,ColesStoreData!$B:$F,2,0)</f>
        <v>VIC</v>
      </c>
      <c r="I563">
        <f>VLOOKUP(B563,ColesStoreData!$B:$F,3,0)</f>
        <v>9369</v>
      </c>
      <c r="J563">
        <f>VLOOKUP(B563,ColesStoreData!$B:$F,5,0)</f>
        <v>1700</v>
      </c>
      <c r="K563">
        <f t="shared" si="18"/>
        <v>19</v>
      </c>
      <c r="L563" s="1">
        <f t="shared" si="17"/>
        <v>0.70370370370370372</v>
      </c>
    </row>
    <row r="564" spans="1:12" x14ac:dyDescent="0.2">
      <c r="A564">
        <v>632</v>
      </c>
      <c r="B564" t="s">
        <v>63</v>
      </c>
      <c r="C564">
        <v>26</v>
      </c>
      <c r="D564">
        <v>32</v>
      </c>
      <c r="E564">
        <v>5</v>
      </c>
      <c r="F564" t="s">
        <v>701</v>
      </c>
      <c r="G564" t="s">
        <v>702</v>
      </c>
      <c r="H564" t="str">
        <f>VLOOKUP(B564,ColesStoreData!$B:$F,2,0)</f>
        <v>NSW</v>
      </c>
      <c r="I564">
        <f>VLOOKUP(B564,ColesStoreData!$B:$F,3,0)</f>
        <v>6570</v>
      </c>
      <c r="J564">
        <f>VLOOKUP(B564,ColesStoreData!$B:$F,5,0)</f>
        <v>1700</v>
      </c>
      <c r="K564">
        <f t="shared" si="18"/>
        <v>27</v>
      </c>
      <c r="L564" s="1">
        <f t="shared" si="17"/>
        <v>0.84375</v>
      </c>
    </row>
    <row r="565" spans="1:12" x14ac:dyDescent="0.2">
      <c r="A565">
        <v>633</v>
      </c>
      <c r="B565" t="s">
        <v>62</v>
      </c>
      <c r="C565">
        <v>36</v>
      </c>
      <c r="D565">
        <v>30</v>
      </c>
      <c r="E565">
        <v>13</v>
      </c>
      <c r="F565" t="s">
        <v>703</v>
      </c>
      <c r="G565" t="s">
        <v>700</v>
      </c>
      <c r="H565" t="str">
        <f>VLOOKUP(B565,ColesStoreData!$B:$F,2,0)</f>
        <v>VIC</v>
      </c>
      <c r="I565">
        <f>VLOOKUP(B565,ColesStoreData!$B:$F,3,0)</f>
        <v>7214</v>
      </c>
      <c r="J565">
        <f>VLOOKUP(B565,ColesStoreData!$B:$F,5,0)</f>
        <v>1700</v>
      </c>
      <c r="K565">
        <f t="shared" si="18"/>
        <v>17</v>
      </c>
      <c r="L565" s="1">
        <f t="shared" ref="L565:L612" si="19">K565/D565</f>
        <v>0.56666666666666665</v>
      </c>
    </row>
    <row r="566" spans="1:12" x14ac:dyDescent="0.2">
      <c r="A566">
        <v>634</v>
      </c>
      <c r="B566" t="s">
        <v>61</v>
      </c>
      <c r="C566">
        <v>23</v>
      </c>
      <c r="D566">
        <v>51</v>
      </c>
      <c r="E566">
        <v>15</v>
      </c>
      <c r="F566" t="s">
        <v>701</v>
      </c>
      <c r="G566" t="s">
        <v>702</v>
      </c>
      <c r="H566" t="str">
        <f>VLOOKUP(B566,ColesStoreData!$B:$F,2,0)</f>
        <v>NSW</v>
      </c>
      <c r="I566">
        <f>VLOOKUP(B566,ColesStoreData!$B:$F,3,0)</f>
        <v>6831</v>
      </c>
      <c r="J566">
        <f>VLOOKUP(B566,ColesStoreData!$B:$F,5,0)</f>
        <v>1900</v>
      </c>
      <c r="K566">
        <f t="shared" si="18"/>
        <v>36</v>
      </c>
      <c r="L566" s="1">
        <f t="shared" si="19"/>
        <v>0.70588235294117652</v>
      </c>
    </row>
    <row r="567" spans="1:12" x14ac:dyDescent="0.2">
      <c r="A567">
        <v>635</v>
      </c>
      <c r="B567" t="s">
        <v>60</v>
      </c>
      <c r="C567">
        <v>36</v>
      </c>
      <c r="D567">
        <v>41</v>
      </c>
      <c r="E567">
        <v>13</v>
      </c>
      <c r="F567" t="s">
        <v>701</v>
      </c>
      <c r="G567" t="s">
        <v>700</v>
      </c>
      <c r="H567" t="str">
        <f>VLOOKUP(B567,ColesStoreData!$B:$F,2,0)</f>
        <v>VIC</v>
      </c>
      <c r="I567">
        <f>VLOOKUP(B567,ColesStoreData!$B:$F,3,0)</f>
        <v>7789</v>
      </c>
      <c r="J567">
        <f>VLOOKUP(B567,ColesStoreData!$B:$F,5,0)</f>
        <v>1700</v>
      </c>
      <c r="K567">
        <f t="shared" si="18"/>
        <v>28</v>
      </c>
      <c r="L567" s="1">
        <f t="shared" si="19"/>
        <v>0.68292682926829273</v>
      </c>
    </row>
    <row r="568" spans="1:12" x14ac:dyDescent="0.2">
      <c r="A568">
        <v>636</v>
      </c>
      <c r="B568" t="s">
        <v>59</v>
      </c>
      <c r="C568">
        <v>34</v>
      </c>
      <c r="D568">
        <v>47</v>
      </c>
      <c r="E568">
        <v>10</v>
      </c>
      <c r="F568" t="s">
        <v>701</v>
      </c>
      <c r="G568" t="s">
        <v>702</v>
      </c>
      <c r="H568" t="str">
        <f>VLOOKUP(B568,ColesStoreData!$B:$F,2,0)</f>
        <v>VIC</v>
      </c>
      <c r="I568">
        <f>VLOOKUP(B568,ColesStoreData!$B:$F,3,0)</f>
        <v>7663</v>
      </c>
      <c r="J568">
        <f>VLOOKUP(B568,ColesStoreData!$B:$F,5,0)</f>
        <v>1900</v>
      </c>
      <c r="K568">
        <f t="shared" si="18"/>
        <v>37</v>
      </c>
      <c r="L568" s="1">
        <f t="shared" si="19"/>
        <v>0.78723404255319152</v>
      </c>
    </row>
    <row r="569" spans="1:12" x14ac:dyDescent="0.2">
      <c r="A569">
        <v>637</v>
      </c>
      <c r="B569" t="s">
        <v>58</v>
      </c>
      <c r="C569">
        <v>47</v>
      </c>
      <c r="D569">
        <v>34</v>
      </c>
      <c r="E569">
        <v>8</v>
      </c>
      <c r="F569" t="s">
        <v>701</v>
      </c>
      <c r="G569" t="s">
        <v>700</v>
      </c>
      <c r="H569" t="str">
        <f>VLOOKUP(B569,ColesStoreData!$B:$F,2,0)</f>
        <v>SA</v>
      </c>
      <c r="I569">
        <f>VLOOKUP(B569,ColesStoreData!$B:$F,3,0)</f>
        <v>8615</v>
      </c>
      <c r="J569">
        <f>VLOOKUP(B569,ColesStoreData!$B:$F,5,0)</f>
        <v>1700</v>
      </c>
      <c r="K569">
        <f t="shared" si="18"/>
        <v>26</v>
      </c>
      <c r="L569" s="1">
        <f t="shared" si="19"/>
        <v>0.76470588235294112</v>
      </c>
    </row>
    <row r="570" spans="1:12" x14ac:dyDescent="0.2">
      <c r="A570">
        <v>638</v>
      </c>
      <c r="B570" t="s">
        <v>57</v>
      </c>
      <c r="C570">
        <v>41</v>
      </c>
      <c r="D570">
        <v>52</v>
      </c>
      <c r="E570">
        <v>11</v>
      </c>
      <c r="F570" t="s">
        <v>701</v>
      </c>
      <c r="G570" t="s">
        <v>702</v>
      </c>
      <c r="H570" t="str">
        <f>VLOOKUP(B570,ColesStoreData!$B:$F,2,0)</f>
        <v>QLD</v>
      </c>
      <c r="I570">
        <f>VLOOKUP(B570,ColesStoreData!$B:$F,3,0)</f>
        <v>7114</v>
      </c>
      <c r="J570">
        <f>VLOOKUP(B570,ColesStoreData!$B:$F,5,0)</f>
        <v>1900</v>
      </c>
      <c r="K570">
        <f t="shared" si="18"/>
        <v>41</v>
      </c>
      <c r="L570" s="1">
        <f t="shared" si="19"/>
        <v>0.78846153846153844</v>
      </c>
    </row>
    <row r="571" spans="1:12" x14ac:dyDescent="0.2">
      <c r="A571">
        <v>639</v>
      </c>
      <c r="B571" t="s">
        <v>56</v>
      </c>
      <c r="C571">
        <v>40</v>
      </c>
      <c r="D571">
        <v>52</v>
      </c>
      <c r="E571">
        <v>6</v>
      </c>
      <c r="F571" t="s">
        <v>703</v>
      </c>
      <c r="G571" t="s">
        <v>702</v>
      </c>
      <c r="H571" t="str">
        <f>VLOOKUP(B571,ColesStoreData!$B:$F,2,0)</f>
        <v>QLD</v>
      </c>
      <c r="I571">
        <f>VLOOKUP(B571,ColesStoreData!$B:$F,3,0)</f>
        <v>9295</v>
      </c>
      <c r="J571">
        <f>VLOOKUP(B571,ColesStoreData!$B:$F,5,0)</f>
        <v>1900</v>
      </c>
      <c r="K571">
        <f t="shared" si="18"/>
        <v>46</v>
      </c>
      <c r="L571" s="1">
        <f t="shared" si="19"/>
        <v>0.88461538461538458</v>
      </c>
    </row>
    <row r="572" spans="1:12" x14ac:dyDescent="0.2">
      <c r="A572">
        <v>640</v>
      </c>
      <c r="B572" t="s">
        <v>55</v>
      </c>
      <c r="C572">
        <v>27</v>
      </c>
      <c r="D572">
        <v>51</v>
      </c>
      <c r="E572">
        <v>9</v>
      </c>
      <c r="F572" t="s">
        <v>701</v>
      </c>
      <c r="G572" t="s">
        <v>702</v>
      </c>
      <c r="H572" t="str">
        <f>VLOOKUP(B572,ColesStoreData!$B:$F,2,0)</f>
        <v>NSW</v>
      </c>
      <c r="I572">
        <f>VLOOKUP(B572,ColesStoreData!$B:$F,3,0)</f>
        <v>9555</v>
      </c>
      <c r="J572">
        <f>VLOOKUP(B572,ColesStoreData!$B:$F,5,0)</f>
        <v>1900</v>
      </c>
      <c r="K572">
        <f t="shared" si="18"/>
        <v>42</v>
      </c>
      <c r="L572" s="1">
        <f t="shared" si="19"/>
        <v>0.82352941176470584</v>
      </c>
    </row>
    <row r="573" spans="1:12" x14ac:dyDescent="0.2">
      <c r="A573">
        <v>641</v>
      </c>
      <c r="B573" t="s">
        <v>54</v>
      </c>
      <c r="C573">
        <v>21</v>
      </c>
      <c r="D573">
        <v>41</v>
      </c>
      <c r="E573">
        <v>7</v>
      </c>
      <c r="F573" t="s">
        <v>703</v>
      </c>
      <c r="G573" t="s">
        <v>702</v>
      </c>
      <c r="H573" t="str">
        <f>VLOOKUP(B573,ColesStoreData!$B:$F,2,0)</f>
        <v>NSW</v>
      </c>
      <c r="I573">
        <f>VLOOKUP(B573,ColesStoreData!$B:$F,3,0)</f>
        <v>9184</v>
      </c>
      <c r="J573">
        <f>VLOOKUP(B573,ColesStoreData!$B:$F,5,0)</f>
        <v>1700</v>
      </c>
      <c r="K573">
        <f t="shared" si="18"/>
        <v>34</v>
      </c>
      <c r="L573" s="1">
        <f t="shared" si="19"/>
        <v>0.82926829268292679</v>
      </c>
    </row>
    <row r="574" spans="1:12" x14ac:dyDescent="0.2">
      <c r="A574">
        <v>642</v>
      </c>
      <c r="B574" t="s">
        <v>53</v>
      </c>
      <c r="C574">
        <v>46</v>
      </c>
      <c r="D574">
        <v>46</v>
      </c>
      <c r="E574">
        <v>10</v>
      </c>
      <c r="F574" t="s">
        <v>703</v>
      </c>
      <c r="G574" t="s">
        <v>700</v>
      </c>
      <c r="H574" t="str">
        <f>VLOOKUP(B574,ColesStoreData!$B:$F,2,0)</f>
        <v>WA</v>
      </c>
      <c r="I574">
        <f>VLOOKUP(B574,ColesStoreData!$B:$F,3,0)</f>
        <v>9954</v>
      </c>
      <c r="J574">
        <f>VLOOKUP(B574,ColesStoreData!$B:$F,5,0)</f>
        <v>1900</v>
      </c>
      <c r="K574">
        <f t="shared" ref="K574:K612" si="20">D574-E574</f>
        <v>36</v>
      </c>
      <c r="L574" s="1">
        <f t="shared" si="19"/>
        <v>0.78260869565217395</v>
      </c>
    </row>
    <row r="575" spans="1:12" x14ac:dyDescent="0.2">
      <c r="A575">
        <v>643</v>
      </c>
      <c r="B575" t="s">
        <v>52</v>
      </c>
      <c r="C575">
        <v>26</v>
      </c>
      <c r="D575">
        <v>40</v>
      </c>
      <c r="E575">
        <v>8</v>
      </c>
      <c r="F575" t="s">
        <v>701</v>
      </c>
      <c r="G575" t="s">
        <v>702</v>
      </c>
      <c r="H575" t="str">
        <f>VLOOKUP(B575,ColesStoreData!$B:$F,2,0)</f>
        <v>NSW</v>
      </c>
      <c r="I575">
        <f>VLOOKUP(B575,ColesStoreData!$B:$F,3,0)</f>
        <v>9937</v>
      </c>
      <c r="J575">
        <f>VLOOKUP(B575,ColesStoreData!$B:$F,5,0)</f>
        <v>1700</v>
      </c>
      <c r="K575">
        <f t="shared" si="20"/>
        <v>32</v>
      </c>
      <c r="L575" s="1">
        <f t="shared" si="19"/>
        <v>0.8</v>
      </c>
    </row>
    <row r="576" spans="1:12" x14ac:dyDescent="0.2">
      <c r="A576">
        <v>644</v>
      </c>
      <c r="B576" t="s">
        <v>51</v>
      </c>
      <c r="C576">
        <v>40</v>
      </c>
      <c r="D576">
        <v>58</v>
      </c>
      <c r="E576">
        <v>10</v>
      </c>
      <c r="F576" t="s">
        <v>703</v>
      </c>
      <c r="G576" t="s">
        <v>702</v>
      </c>
      <c r="H576" t="str">
        <f>VLOOKUP(B576,ColesStoreData!$B:$F,2,0)</f>
        <v>QLD</v>
      </c>
      <c r="I576">
        <f>VLOOKUP(B576,ColesStoreData!$B:$F,3,0)</f>
        <v>13911</v>
      </c>
      <c r="J576">
        <f>VLOOKUP(B576,ColesStoreData!$B:$F,5,0)</f>
        <v>2700</v>
      </c>
      <c r="K576">
        <f t="shared" si="20"/>
        <v>48</v>
      </c>
      <c r="L576" s="1">
        <f t="shared" si="19"/>
        <v>0.82758620689655171</v>
      </c>
    </row>
    <row r="577" spans="1:12" x14ac:dyDescent="0.2">
      <c r="A577">
        <v>645</v>
      </c>
      <c r="B577" t="s">
        <v>50</v>
      </c>
      <c r="C577">
        <v>23</v>
      </c>
      <c r="D577">
        <v>25</v>
      </c>
      <c r="E577">
        <v>11</v>
      </c>
      <c r="F577" t="s">
        <v>703</v>
      </c>
      <c r="G577" t="s">
        <v>700</v>
      </c>
      <c r="H577" t="str">
        <f>VLOOKUP(B577,ColesStoreData!$B:$F,2,0)</f>
        <v>NSW</v>
      </c>
      <c r="I577">
        <f>VLOOKUP(B577,ColesStoreData!$B:$F,3,0)</f>
        <v>8313</v>
      </c>
      <c r="J577">
        <f>VLOOKUP(B577,ColesStoreData!$B:$F,5,0)</f>
        <v>1700</v>
      </c>
      <c r="K577">
        <f t="shared" si="20"/>
        <v>14</v>
      </c>
      <c r="L577" s="1">
        <f t="shared" si="19"/>
        <v>0.56000000000000005</v>
      </c>
    </row>
    <row r="578" spans="1:12" x14ac:dyDescent="0.2">
      <c r="A578">
        <v>646</v>
      </c>
      <c r="B578" t="s">
        <v>49</v>
      </c>
      <c r="C578">
        <v>46</v>
      </c>
      <c r="D578">
        <v>42</v>
      </c>
      <c r="E578">
        <v>11</v>
      </c>
      <c r="F578" t="s">
        <v>701</v>
      </c>
      <c r="G578" t="s">
        <v>700</v>
      </c>
      <c r="H578" t="str">
        <f>VLOOKUP(B578,ColesStoreData!$B:$F,2,0)</f>
        <v>WA</v>
      </c>
      <c r="I578">
        <f>VLOOKUP(B578,ColesStoreData!$B:$F,3,0)</f>
        <v>8170</v>
      </c>
      <c r="J578">
        <f>VLOOKUP(B578,ColesStoreData!$B:$F,5,0)</f>
        <v>1700</v>
      </c>
      <c r="K578">
        <f t="shared" si="20"/>
        <v>31</v>
      </c>
      <c r="L578" s="1">
        <f t="shared" si="19"/>
        <v>0.73809523809523814</v>
      </c>
    </row>
    <row r="579" spans="1:12" x14ac:dyDescent="0.2">
      <c r="A579">
        <v>647</v>
      </c>
      <c r="B579" t="s">
        <v>48</v>
      </c>
      <c r="C579">
        <v>43</v>
      </c>
      <c r="D579">
        <v>56</v>
      </c>
      <c r="E579">
        <v>8</v>
      </c>
      <c r="F579" t="s">
        <v>701</v>
      </c>
      <c r="G579" t="s">
        <v>702</v>
      </c>
      <c r="H579" t="str">
        <f>VLOOKUP(B579,ColesStoreData!$B:$F,2,0)</f>
        <v>WA</v>
      </c>
      <c r="I579">
        <f>VLOOKUP(B579,ColesStoreData!$B:$F,3,0)</f>
        <v>31395</v>
      </c>
      <c r="J579">
        <f>VLOOKUP(B579,ColesStoreData!$B:$F,5,0)</f>
        <v>2500</v>
      </c>
      <c r="K579">
        <f t="shared" si="20"/>
        <v>48</v>
      </c>
      <c r="L579" s="1">
        <f t="shared" si="19"/>
        <v>0.8571428571428571</v>
      </c>
    </row>
    <row r="580" spans="1:12" x14ac:dyDescent="0.2">
      <c r="A580">
        <v>648</v>
      </c>
      <c r="B580" t="s">
        <v>47</v>
      </c>
      <c r="C580">
        <v>50</v>
      </c>
      <c r="D580">
        <v>46</v>
      </c>
      <c r="E580">
        <v>12</v>
      </c>
      <c r="F580" t="s">
        <v>703</v>
      </c>
      <c r="G580" t="s">
        <v>700</v>
      </c>
      <c r="H580" t="str">
        <f>VLOOKUP(B580,ColesStoreData!$B:$F,2,0)</f>
        <v>NT</v>
      </c>
      <c r="I580">
        <f>VLOOKUP(B580,ColesStoreData!$B:$F,3,0)</f>
        <v>8769</v>
      </c>
      <c r="J580">
        <f>VLOOKUP(B580,ColesStoreData!$B:$F,5,0)</f>
        <v>1900</v>
      </c>
      <c r="K580">
        <f t="shared" si="20"/>
        <v>34</v>
      </c>
      <c r="L580" s="1">
        <f t="shared" si="19"/>
        <v>0.73913043478260865</v>
      </c>
    </row>
    <row r="581" spans="1:12" x14ac:dyDescent="0.2">
      <c r="A581">
        <v>649</v>
      </c>
      <c r="B581" t="s">
        <v>46</v>
      </c>
      <c r="C581">
        <v>44</v>
      </c>
      <c r="D581">
        <v>40</v>
      </c>
      <c r="E581">
        <v>13</v>
      </c>
      <c r="F581" t="s">
        <v>701</v>
      </c>
      <c r="G581" t="s">
        <v>700</v>
      </c>
      <c r="H581" t="str">
        <f>VLOOKUP(B581,ColesStoreData!$B:$F,2,0)</f>
        <v>WA</v>
      </c>
      <c r="I581">
        <f>VLOOKUP(B581,ColesStoreData!$B:$F,3,0)</f>
        <v>6787</v>
      </c>
      <c r="J581">
        <f>VLOOKUP(B581,ColesStoreData!$B:$F,5,0)</f>
        <v>1700</v>
      </c>
      <c r="K581">
        <f t="shared" si="20"/>
        <v>27</v>
      </c>
      <c r="L581" s="1">
        <f t="shared" si="19"/>
        <v>0.67500000000000004</v>
      </c>
    </row>
    <row r="582" spans="1:12" x14ac:dyDescent="0.2">
      <c r="A582">
        <v>650</v>
      </c>
      <c r="B582" t="s">
        <v>45</v>
      </c>
      <c r="C582">
        <v>25</v>
      </c>
      <c r="D582">
        <v>53</v>
      </c>
      <c r="E582">
        <v>10</v>
      </c>
      <c r="F582" t="s">
        <v>703</v>
      </c>
      <c r="G582" t="s">
        <v>702</v>
      </c>
      <c r="H582" t="str">
        <f>VLOOKUP(B582,ColesStoreData!$B:$F,2,0)</f>
        <v>NSW</v>
      </c>
      <c r="I582">
        <f>VLOOKUP(B582,ColesStoreData!$B:$F,3,0)</f>
        <v>9338</v>
      </c>
      <c r="J582">
        <f>VLOOKUP(B582,ColesStoreData!$B:$F,5,0)</f>
        <v>1900</v>
      </c>
      <c r="K582">
        <f t="shared" si="20"/>
        <v>43</v>
      </c>
      <c r="L582" s="1">
        <f t="shared" si="19"/>
        <v>0.81132075471698117</v>
      </c>
    </row>
    <row r="583" spans="1:12" x14ac:dyDescent="0.2">
      <c r="A583">
        <v>651</v>
      </c>
      <c r="B583" t="s">
        <v>44</v>
      </c>
      <c r="C583">
        <v>37</v>
      </c>
      <c r="D583">
        <v>41</v>
      </c>
      <c r="E583">
        <v>5</v>
      </c>
      <c r="F583" t="s">
        <v>701</v>
      </c>
      <c r="G583" t="s">
        <v>700</v>
      </c>
      <c r="H583" t="str">
        <f>VLOOKUP(B583,ColesStoreData!$B:$F,2,0)</f>
        <v>QLD</v>
      </c>
      <c r="I583">
        <f>VLOOKUP(B583,ColesStoreData!$B:$F,3,0)</f>
        <v>7365</v>
      </c>
      <c r="J583">
        <f>VLOOKUP(B583,ColesStoreData!$B:$F,5,0)</f>
        <v>1700</v>
      </c>
      <c r="K583">
        <f t="shared" si="20"/>
        <v>36</v>
      </c>
      <c r="L583" s="1">
        <f t="shared" si="19"/>
        <v>0.87804878048780488</v>
      </c>
    </row>
    <row r="584" spans="1:12" x14ac:dyDescent="0.2">
      <c r="A584">
        <v>652</v>
      </c>
      <c r="B584" t="s">
        <v>43</v>
      </c>
      <c r="C584">
        <v>37</v>
      </c>
      <c r="D584">
        <v>29</v>
      </c>
      <c r="E584">
        <v>6</v>
      </c>
      <c r="F584" t="s">
        <v>701</v>
      </c>
      <c r="G584" t="s">
        <v>700</v>
      </c>
      <c r="H584" t="str">
        <f>VLOOKUP(B584,ColesStoreData!$B:$F,2,0)</f>
        <v>QLD</v>
      </c>
      <c r="I584">
        <f>VLOOKUP(B584,ColesStoreData!$B:$F,3,0)</f>
        <v>6512</v>
      </c>
      <c r="J584">
        <f>VLOOKUP(B584,ColesStoreData!$B:$F,5,0)</f>
        <v>1700</v>
      </c>
      <c r="K584">
        <f t="shared" si="20"/>
        <v>23</v>
      </c>
      <c r="L584" s="1">
        <f t="shared" si="19"/>
        <v>0.7931034482758621</v>
      </c>
    </row>
    <row r="585" spans="1:12" x14ac:dyDescent="0.2">
      <c r="A585">
        <v>653</v>
      </c>
      <c r="B585" t="s">
        <v>42</v>
      </c>
      <c r="C585">
        <v>25</v>
      </c>
      <c r="D585">
        <v>52</v>
      </c>
      <c r="E585">
        <v>10</v>
      </c>
      <c r="F585" t="s">
        <v>701</v>
      </c>
      <c r="G585" t="s">
        <v>702</v>
      </c>
      <c r="H585" t="str">
        <f>VLOOKUP(B585,ColesStoreData!$B:$F,2,0)</f>
        <v>NSW</v>
      </c>
      <c r="I585">
        <f>VLOOKUP(B585,ColesStoreData!$B:$F,3,0)</f>
        <v>9717</v>
      </c>
      <c r="J585">
        <f>VLOOKUP(B585,ColesStoreData!$B:$F,5,0)</f>
        <v>1900</v>
      </c>
      <c r="K585">
        <f t="shared" si="20"/>
        <v>42</v>
      </c>
      <c r="L585" s="1">
        <f t="shared" si="19"/>
        <v>0.80769230769230771</v>
      </c>
    </row>
    <row r="586" spans="1:12" x14ac:dyDescent="0.2">
      <c r="A586">
        <v>654</v>
      </c>
      <c r="B586" t="s">
        <v>41</v>
      </c>
      <c r="C586">
        <v>23</v>
      </c>
      <c r="D586">
        <v>32</v>
      </c>
      <c r="E586">
        <v>8</v>
      </c>
      <c r="F586" t="s">
        <v>703</v>
      </c>
      <c r="G586" t="s">
        <v>702</v>
      </c>
      <c r="H586" t="str">
        <f>VLOOKUP(B586,ColesStoreData!$B:$F,2,0)</f>
        <v>NSW</v>
      </c>
      <c r="I586">
        <f>VLOOKUP(B586,ColesStoreData!$B:$F,3,0)</f>
        <v>7133</v>
      </c>
      <c r="J586">
        <f>VLOOKUP(B586,ColesStoreData!$B:$F,5,0)</f>
        <v>1700</v>
      </c>
      <c r="K586">
        <f t="shared" si="20"/>
        <v>24</v>
      </c>
      <c r="L586" s="1">
        <f t="shared" si="19"/>
        <v>0.75</v>
      </c>
    </row>
    <row r="587" spans="1:12" x14ac:dyDescent="0.2">
      <c r="A587">
        <v>655</v>
      </c>
      <c r="B587" t="s">
        <v>40</v>
      </c>
      <c r="C587">
        <v>26</v>
      </c>
      <c r="D587">
        <v>28</v>
      </c>
      <c r="E587">
        <v>9</v>
      </c>
      <c r="F587" t="s">
        <v>703</v>
      </c>
      <c r="G587" t="s">
        <v>700</v>
      </c>
      <c r="H587" t="str">
        <f>VLOOKUP(B587,ColesStoreData!$B:$F,2,0)</f>
        <v>NSW</v>
      </c>
      <c r="I587">
        <f>VLOOKUP(B587,ColesStoreData!$B:$F,3,0)</f>
        <v>7944</v>
      </c>
      <c r="J587">
        <f>VLOOKUP(B587,ColesStoreData!$B:$F,5,0)</f>
        <v>1700</v>
      </c>
      <c r="K587">
        <f t="shared" si="20"/>
        <v>19</v>
      </c>
      <c r="L587" s="1">
        <f t="shared" si="19"/>
        <v>0.6785714285714286</v>
      </c>
    </row>
    <row r="588" spans="1:12" x14ac:dyDescent="0.2">
      <c r="A588">
        <v>656</v>
      </c>
      <c r="B588" t="s">
        <v>39</v>
      </c>
      <c r="C588">
        <v>33</v>
      </c>
      <c r="D588">
        <v>37</v>
      </c>
      <c r="E588">
        <v>6</v>
      </c>
      <c r="F588" t="s">
        <v>701</v>
      </c>
      <c r="G588" t="s">
        <v>700</v>
      </c>
      <c r="H588" t="str">
        <f>VLOOKUP(B588,ColesStoreData!$B:$F,2,0)</f>
        <v>VIC</v>
      </c>
      <c r="I588">
        <f>VLOOKUP(B588,ColesStoreData!$B:$F,3,0)</f>
        <v>8346</v>
      </c>
      <c r="J588">
        <f>VLOOKUP(B588,ColesStoreData!$B:$F,5,0)</f>
        <v>1700</v>
      </c>
      <c r="K588">
        <f t="shared" si="20"/>
        <v>31</v>
      </c>
      <c r="L588" s="1">
        <f t="shared" si="19"/>
        <v>0.83783783783783783</v>
      </c>
    </row>
    <row r="589" spans="1:12" x14ac:dyDescent="0.2">
      <c r="A589">
        <v>657</v>
      </c>
      <c r="B589" t="s">
        <v>38</v>
      </c>
      <c r="C589">
        <v>40</v>
      </c>
      <c r="D589">
        <v>52</v>
      </c>
      <c r="E589">
        <v>5</v>
      </c>
      <c r="F589" t="s">
        <v>701</v>
      </c>
      <c r="G589" t="s">
        <v>702</v>
      </c>
      <c r="H589" t="str">
        <f>VLOOKUP(B589,ColesStoreData!$B:$F,2,0)</f>
        <v>QLD</v>
      </c>
      <c r="I589">
        <f>VLOOKUP(B589,ColesStoreData!$B:$F,3,0)</f>
        <v>7369</v>
      </c>
      <c r="J589">
        <f>VLOOKUP(B589,ColesStoreData!$B:$F,5,0)</f>
        <v>1900</v>
      </c>
      <c r="K589">
        <f t="shared" si="20"/>
        <v>47</v>
      </c>
      <c r="L589" s="1">
        <f t="shared" si="19"/>
        <v>0.90384615384615385</v>
      </c>
    </row>
    <row r="590" spans="1:12" x14ac:dyDescent="0.2">
      <c r="A590">
        <v>658</v>
      </c>
      <c r="B590" t="s">
        <v>37</v>
      </c>
      <c r="C590">
        <v>21</v>
      </c>
      <c r="D590">
        <v>40</v>
      </c>
      <c r="E590">
        <v>11</v>
      </c>
      <c r="F590" t="s">
        <v>703</v>
      </c>
      <c r="G590" t="s">
        <v>702</v>
      </c>
      <c r="H590" t="str">
        <f>VLOOKUP(B590,ColesStoreData!$B:$F,2,0)</f>
        <v>NSW</v>
      </c>
      <c r="I590">
        <f>VLOOKUP(B590,ColesStoreData!$B:$F,3,0)</f>
        <v>9866</v>
      </c>
      <c r="J590">
        <f>VLOOKUP(B590,ColesStoreData!$B:$F,5,0)</f>
        <v>1700</v>
      </c>
      <c r="K590">
        <f t="shared" si="20"/>
        <v>29</v>
      </c>
      <c r="L590" s="1">
        <f t="shared" si="19"/>
        <v>0.72499999999999998</v>
      </c>
    </row>
    <row r="591" spans="1:12" x14ac:dyDescent="0.2">
      <c r="A591">
        <v>659</v>
      </c>
      <c r="B591" t="s">
        <v>36</v>
      </c>
      <c r="C591">
        <v>47</v>
      </c>
      <c r="D591">
        <v>40</v>
      </c>
      <c r="E591">
        <v>4</v>
      </c>
      <c r="F591" t="s">
        <v>703</v>
      </c>
      <c r="G591" t="s">
        <v>700</v>
      </c>
      <c r="H591" t="str">
        <f>VLOOKUP(B591,ColesStoreData!$B:$F,2,0)</f>
        <v>WA</v>
      </c>
      <c r="I591">
        <f>VLOOKUP(B591,ColesStoreData!$B:$F,3,0)</f>
        <v>9311</v>
      </c>
      <c r="J591">
        <f>VLOOKUP(B591,ColesStoreData!$B:$F,5,0)</f>
        <v>1700</v>
      </c>
      <c r="K591">
        <f t="shared" si="20"/>
        <v>36</v>
      </c>
      <c r="L591" s="1">
        <f t="shared" si="19"/>
        <v>0.9</v>
      </c>
    </row>
    <row r="592" spans="1:12" x14ac:dyDescent="0.2">
      <c r="A592">
        <v>660</v>
      </c>
      <c r="B592" t="s">
        <v>35</v>
      </c>
      <c r="C592">
        <v>30</v>
      </c>
      <c r="D592">
        <v>43</v>
      </c>
      <c r="E592">
        <v>8</v>
      </c>
      <c r="F592" t="s">
        <v>703</v>
      </c>
      <c r="G592" t="s">
        <v>702</v>
      </c>
      <c r="H592" t="str">
        <f>VLOOKUP(B592,ColesStoreData!$B:$F,2,0)</f>
        <v>VIC</v>
      </c>
      <c r="I592">
        <f>VLOOKUP(B592,ColesStoreData!$B:$F,3,0)</f>
        <v>7822</v>
      </c>
      <c r="J592">
        <f>VLOOKUP(B592,ColesStoreData!$B:$F,5,0)</f>
        <v>1700</v>
      </c>
      <c r="K592">
        <f t="shared" si="20"/>
        <v>35</v>
      </c>
      <c r="L592" s="1">
        <f t="shared" si="19"/>
        <v>0.81395348837209303</v>
      </c>
    </row>
    <row r="593" spans="1:12" x14ac:dyDescent="0.2">
      <c r="A593">
        <v>661</v>
      </c>
      <c r="B593" t="s">
        <v>34</v>
      </c>
      <c r="C593">
        <v>27</v>
      </c>
      <c r="D593">
        <v>47</v>
      </c>
      <c r="E593">
        <v>11</v>
      </c>
      <c r="F593" t="s">
        <v>703</v>
      </c>
      <c r="G593" t="s">
        <v>702</v>
      </c>
      <c r="H593" t="str">
        <f>VLOOKUP(B593,ColesStoreData!$B:$F,2,0)</f>
        <v>NSW</v>
      </c>
      <c r="I593">
        <f>VLOOKUP(B593,ColesStoreData!$B:$F,3,0)</f>
        <v>7690</v>
      </c>
      <c r="J593">
        <f>VLOOKUP(B593,ColesStoreData!$B:$F,5,0)</f>
        <v>1900</v>
      </c>
      <c r="K593">
        <f t="shared" si="20"/>
        <v>36</v>
      </c>
      <c r="L593" s="1">
        <f t="shared" si="19"/>
        <v>0.76595744680851063</v>
      </c>
    </row>
    <row r="594" spans="1:12" x14ac:dyDescent="0.2">
      <c r="A594">
        <v>662</v>
      </c>
      <c r="B594" t="s">
        <v>33</v>
      </c>
      <c r="C594">
        <v>37</v>
      </c>
      <c r="D594">
        <v>38</v>
      </c>
      <c r="E594">
        <v>17</v>
      </c>
      <c r="F594" t="s">
        <v>701</v>
      </c>
      <c r="G594" t="s">
        <v>700</v>
      </c>
      <c r="H594" t="str">
        <f>VLOOKUP(B594,ColesStoreData!$B:$F,2,0)</f>
        <v>QLD</v>
      </c>
      <c r="I594">
        <f>VLOOKUP(B594,ColesStoreData!$B:$F,3,0)</f>
        <v>7590</v>
      </c>
      <c r="J594">
        <f>VLOOKUP(B594,ColesStoreData!$B:$F,5,0)</f>
        <v>1700</v>
      </c>
      <c r="K594">
        <f t="shared" si="20"/>
        <v>21</v>
      </c>
      <c r="L594" s="1">
        <f t="shared" si="19"/>
        <v>0.55263157894736847</v>
      </c>
    </row>
    <row r="595" spans="1:12" x14ac:dyDescent="0.2">
      <c r="A595">
        <v>663</v>
      </c>
      <c r="B595" t="s">
        <v>32</v>
      </c>
      <c r="C595">
        <v>30</v>
      </c>
      <c r="D595">
        <v>48</v>
      </c>
      <c r="E595">
        <v>8</v>
      </c>
      <c r="F595" t="s">
        <v>703</v>
      </c>
      <c r="G595" t="s">
        <v>702</v>
      </c>
      <c r="H595" t="str">
        <f>VLOOKUP(B595,ColesStoreData!$B:$F,2,0)</f>
        <v>VIC</v>
      </c>
      <c r="I595">
        <f>VLOOKUP(B595,ColesStoreData!$B:$F,3,0)</f>
        <v>6569</v>
      </c>
      <c r="J595">
        <f>VLOOKUP(B595,ColesStoreData!$B:$F,5,0)</f>
        <v>1900</v>
      </c>
      <c r="K595">
        <f t="shared" si="20"/>
        <v>40</v>
      </c>
      <c r="L595" s="1">
        <f t="shared" si="19"/>
        <v>0.83333333333333337</v>
      </c>
    </row>
    <row r="596" spans="1:12" x14ac:dyDescent="0.2">
      <c r="A596">
        <v>664</v>
      </c>
      <c r="B596" t="s">
        <v>31</v>
      </c>
      <c r="C596">
        <v>34</v>
      </c>
      <c r="D596">
        <v>55</v>
      </c>
      <c r="E596">
        <v>7</v>
      </c>
      <c r="F596" t="s">
        <v>703</v>
      </c>
      <c r="G596" t="s">
        <v>702</v>
      </c>
      <c r="H596" t="str">
        <f>VLOOKUP(B596,ColesStoreData!$B:$F,2,0)</f>
        <v>VIC</v>
      </c>
      <c r="I596">
        <f>VLOOKUP(B596,ColesStoreData!$B:$F,3,0)</f>
        <v>27198</v>
      </c>
      <c r="J596">
        <f>VLOOKUP(B596,ColesStoreData!$B:$F,5,0)</f>
        <v>2500</v>
      </c>
      <c r="K596">
        <f t="shared" si="20"/>
        <v>48</v>
      </c>
      <c r="L596" s="1">
        <f t="shared" si="19"/>
        <v>0.87272727272727268</v>
      </c>
    </row>
    <row r="597" spans="1:12" x14ac:dyDescent="0.2">
      <c r="A597">
        <v>665</v>
      </c>
      <c r="B597" t="s">
        <v>30</v>
      </c>
      <c r="C597">
        <v>30</v>
      </c>
      <c r="D597">
        <v>37</v>
      </c>
      <c r="E597">
        <v>6</v>
      </c>
      <c r="F597" t="s">
        <v>701</v>
      </c>
      <c r="G597" t="s">
        <v>702</v>
      </c>
      <c r="H597" t="str">
        <f>VLOOKUP(B597,ColesStoreData!$B:$F,2,0)</f>
        <v>VIC</v>
      </c>
      <c r="I597">
        <f>VLOOKUP(B597,ColesStoreData!$B:$F,3,0)</f>
        <v>6523</v>
      </c>
      <c r="J597">
        <f>VLOOKUP(B597,ColesStoreData!$B:$F,5,0)</f>
        <v>1700</v>
      </c>
      <c r="K597">
        <f t="shared" si="20"/>
        <v>31</v>
      </c>
      <c r="L597" s="1">
        <f t="shared" si="19"/>
        <v>0.83783783783783783</v>
      </c>
    </row>
    <row r="598" spans="1:12" x14ac:dyDescent="0.2">
      <c r="A598">
        <v>666</v>
      </c>
      <c r="B598" t="s">
        <v>29</v>
      </c>
      <c r="C598">
        <v>37</v>
      </c>
      <c r="D598">
        <v>51</v>
      </c>
      <c r="E598">
        <v>5</v>
      </c>
      <c r="F598" t="s">
        <v>703</v>
      </c>
      <c r="G598" t="s">
        <v>702</v>
      </c>
      <c r="H598" t="str">
        <f>VLOOKUP(B598,ColesStoreData!$B:$F,2,0)</f>
        <v>QLD</v>
      </c>
      <c r="I598">
        <f>VLOOKUP(B598,ColesStoreData!$B:$F,3,0)</f>
        <v>9317</v>
      </c>
      <c r="J598">
        <f>VLOOKUP(B598,ColesStoreData!$B:$F,5,0)</f>
        <v>1900</v>
      </c>
      <c r="K598">
        <f t="shared" si="20"/>
        <v>46</v>
      </c>
      <c r="L598" s="1">
        <f t="shared" si="19"/>
        <v>0.90196078431372551</v>
      </c>
    </row>
    <row r="599" spans="1:12" x14ac:dyDescent="0.2">
      <c r="A599">
        <v>668</v>
      </c>
      <c r="B599" t="s">
        <v>27</v>
      </c>
      <c r="C599">
        <v>46</v>
      </c>
      <c r="D599">
        <v>29</v>
      </c>
      <c r="E599">
        <v>11</v>
      </c>
      <c r="F599" t="s">
        <v>703</v>
      </c>
      <c r="G599" t="s">
        <v>700</v>
      </c>
      <c r="H599" t="str">
        <f>VLOOKUP(B599,ColesStoreData!$B:$F,2,0)</f>
        <v>WA</v>
      </c>
      <c r="I599">
        <f>VLOOKUP(B599,ColesStoreData!$B:$F,3,0)</f>
        <v>6722</v>
      </c>
      <c r="J599">
        <f>VLOOKUP(B599,ColesStoreData!$B:$F,5,0)</f>
        <v>1700</v>
      </c>
      <c r="K599">
        <f t="shared" si="20"/>
        <v>18</v>
      </c>
      <c r="L599" s="1">
        <f t="shared" si="19"/>
        <v>0.62068965517241381</v>
      </c>
    </row>
    <row r="600" spans="1:12" x14ac:dyDescent="0.2">
      <c r="A600">
        <v>669</v>
      </c>
      <c r="B600" t="s">
        <v>26</v>
      </c>
      <c r="C600">
        <v>36</v>
      </c>
      <c r="D600">
        <v>42</v>
      </c>
      <c r="E600">
        <v>8</v>
      </c>
      <c r="F600" t="s">
        <v>701</v>
      </c>
      <c r="G600" t="s">
        <v>700</v>
      </c>
      <c r="H600" t="str">
        <f>VLOOKUP(B600,ColesStoreData!$B:$F,2,0)</f>
        <v>VIC</v>
      </c>
      <c r="I600">
        <f>VLOOKUP(B600,ColesStoreData!$B:$F,3,0)</f>
        <v>6936</v>
      </c>
      <c r="J600">
        <f>VLOOKUP(B600,ColesStoreData!$B:$F,5,0)</f>
        <v>1700</v>
      </c>
      <c r="K600">
        <f t="shared" si="20"/>
        <v>34</v>
      </c>
      <c r="L600" s="1">
        <f t="shared" si="19"/>
        <v>0.80952380952380953</v>
      </c>
    </row>
    <row r="601" spans="1:12" x14ac:dyDescent="0.2">
      <c r="A601">
        <v>670</v>
      </c>
      <c r="B601" t="s">
        <v>25</v>
      </c>
      <c r="C601">
        <v>39</v>
      </c>
      <c r="D601">
        <v>29</v>
      </c>
      <c r="E601">
        <v>16</v>
      </c>
      <c r="F601" t="s">
        <v>703</v>
      </c>
      <c r="G601" t="s">
        <v>700</v>
      </c>
      <c r="H601" t="str">
        <f>VLOOKUP(B601,ColesStoreData!$B:$F,2,0)</f>
        <v>QLD</v>
      </c>
      <c r="I601">
        <f>VLOOKUP(B601,ColesStoreData!$B:$F,3,0)</f>
        <v>7587</v>
      </c>
      <c r="J601">
        <f>VLOOKUP(B601,ColesStoreData!$B:$F,5,0)</f>
        <v>1700</v>
      </c>
      <c r="K601">
        <f t="shared" si="20"/>
        <v>13</v>
      </c>
      <c r="L601" s="1">
        <f t="shared" si="19"/>
        <v>0.44827586206896552</v>
      </c>
    </row>
    <row r="602" spans="1:12" x14ac:dyDescent="0.2">
      <c r="A602">
        <v>671</v>
      </c>
      <c r="B602" t="s">
        <v>24</v>
      </c>
      <c r="C602">
        <v>24</v>
      </c>
      <c r="D602">
        <v>54</v>
      </c>
      <c r="E602">
        <v>11</v>
      </c>
      <c r="F602" t="s">
        <v>703</v>
      </c>
      <c r="G602" t="s">
        <v>702</v>
      </c>
      <c r="H602" t="str">
        <f>VLOOKUP(B602,ColesStoreData!$B:$F,2,0)</f>
        <v>NSW</v>
      </c>
      <c r="I602">
        <f>VLOOKUP(B602,ColesStoreData!$B:$F,3,0)</f>
        <v>22153</v>
      </c>
      <c r="J602">
        <f>VLOOKUP(B602,ColesStoreData!$B:$F,5,0)</f>
        <v>2500</v>
      </c>
      <c r="K602">
        <f t="shared" si="20"/>
        <v>43</v>
      </c>
      <c r="L602" s="1">
        <f t="shared" si="19"/>
        <v>0.79629629629629628</v>
      </c>
    </row>
    <row r="603" spans="1:12" x14ac:dyDescent="0.2">
      <c r="A603">
        <v>672</v>
      </c>
      <c r="B603" t="s">
        <v>23</v>
      </c>
      <c r="C603">
        <v>32</v>
      </c>
      <c r="D603">
        <v>52</v>
      </c>
      <c r="E603">
        <v>11</v>
      </c>
      <c r="F603" t="s">
        <v>701</v>
      </c>
      <c r="G603" t="s">
        <v>702</v>
      </c>
      <c r="H603" t="str">
        <f>VLOOKUP(B603,ColesStoreData!$B:$F,2,0)</f>
        <v>VIC</v>
      </c>
      <c r="I603">
        <f>VLOOKUP(B603,ColesStoreData!$B:$F,3,0)</f>
        <v>9119</v>
      </c>
      <c r="J603">
        <f>VLOOKUP(B603,ColesStoreData!$B:$F,5,0)</f>
        <v>1900</v>
      </c>
      <c r="K603">
        <f t="shared" si="20"/>
        <v>41</v>
      </c>
      <c r="L603" s="1">
        <f t="shared" si="19"/>
        <v>0.78846153846153844</v>
      </c>
    </row>
    <row r="604" spans="1:12" x14ac:dyDescent="0.2">
      <c r="A604">
        <v>674</v>
      </c>
      <c r="B604" t="s">
        <v>20</v>
      </c>
      <c r="C604">
        <v>29</v>
      </c>
      <c r="D604">
        <v>47</v>
      </c>
      <c r="E604">
        <v>11</v>
      </c>
      <c r="F604" t="s">
        <v>703</v>
      </c>
      <c r="G604" t="s">
        <v>702</v>
      </c>
      <c r="H604" t="str">
        <f>VLOOKUP(B604,ColesStoreData!$B:$F,2,0)</f>
        <v>VIC</v>
      </c>
      <c r="I604">
        <f>VLOOKUP(B604,ColesStoreData!$B:$F,3,0)</f>
        <v>9931</v>
      </c>
      <c r="J604">
        <f>VLOOKUP(B604,ColesStoreData!$B:$F,5,0)</f>
        <v>1900</v>
      </c>
      <c r="K604">
        <f t="shared" si="20"/>
        <v>36</v>
      </c>
      <c r="L604" s="1">
        <f t="shared" si="19"/>
        <v>0.76595744680851063</v>
      </c>
    </row>
    <row r="605" spans="1:12" x14ac:dyDescent="0.2">
      <c r="A605">
        <v>675</v>
      </c>
      <c r="B605" t="s">
        <v>19</v>
      </c>
      <c r="C605">
        <v>25</v>
      </c>
      <c r="D605">
        <v>36</v>
      </c>
      <c r="E605">
        <v>9</v>
      </c>
      <c r="F605" t="s">
        <v>701</v>
      </c>
      <c r="G605" t="s">
        <v>702</v>
      </c>
      <c r="H605" t="str">
        <f>VLOOKUP(B605,ColesStoreData!$B:$F,2,0)</f>
        <v>NSW</v>
      </c>
      <c r="I605">
        <f>VLOOKUP(B605,ColesStoreData!$B:$F,3,0)</f>
        <v>6728</v>
      </c>
      <c r="J605">
        <f>VLOOKUP(B605,ColesStoreData!$B:$F,5,0)</f>
        <v>1700</v>
      </c>
      <c r="K605">
        <f t="shared" si="20"/>
        <v>27</v>
      </c>
      <c r="L605" s="1">
        <f t="shared" si="19"/>
        <v>0.75</v>
      </c>
    </row>
    <row r="606" spans="1:12" x14ac:dyDescent="0.2">
      <c r="A606">
        <v>676</v>
      </c>
      <c r="B606" t="s">
        <v>18</v>
      </c>
      <c r="C606">
        <v>49</v>
      </c>
      <c r="D606">
        <v>26</v>
      </c>
      <c r="E606">
        <v>11</v>
      </c>
      <c r="F606" t="s">
        <v>701</v>
      </c>
      <c r="G606" t="s">
        <v>700</v>
      </c>
      <c r="H606" t="str">
        <f>VLOOKUP(B606,ColesStoreData!$B:$F,2,0)</f>
        <v>ACT</v>
      </c>
      <c r="I606">
        <f>VLOOKUP(B606,ColesStoreData!$B:$F,3,0)</f>
        <v>7524</v>
      </c>
      <c r="J606">
        <f>VLOOKUP(B606,ColesStoreData!$B:$F,5,0)</f>
        <v>1700</v>
      </c>
      <c r="K606">
        <f t="shared" si="20"/>
        <v>15</v>
      </c>
      <c r="L606" s="1">
        <f t="shared" si="19"/>
        <v>0.57692307692307687</v>
      </c>
    </row>
    <row r="607" spans="1:12" x14ac:dyDescent="0.2">
      <c r="A607">
        <v>677</v>
      </c>
      <c r="B607" t="s">
        <v>17</v>
      </c>
      <c r="C607">
        <v>43</v>
      </c>
      <c r="D607">
        <v>81</v>
      </c>
      <c r="E607">
        <v>9</v>
      </c>
      <c r="F607" t="s">
        <v>703</v>
      </c>
      <c r="G607" t="s">
        <v>702</v>
      </c>
      <c r="H607" t="str">
        <f>VLOOKUP(B607,ColesStoreData!$B:$F,2,0)</f>
        <v>WA</v>
      </c>
      <c r="I607">
        <f>VLOOKUP(B607,ColesStoreData!$B:$F,3,0)</f>
        <v>44959</v>
      </c>
      <c r="J607">
        <f>VLOOKUP(B607,ColesStoreData!$B:$F,5,0)</f>
        <v>2500</v>
      </c>
      <c r="K607">
        <f t="shared" si="20"/>
        <v>72</v>
      </c>
      <c r="L607" s="1">
        <f t="shared" si="19"/>
        <v>0.88888888888888884</v>
      </c>
    </row>
    <row r="608" spans="1:12" x14ac:dyDescent="0.2">
      <c r="A608">
        <v>678</v>
      </c>
      <c r="B608" t="s">
        <v>16</v>
      </c>
      <c r="C608">
        <v>43</v>
      </c>
      <c r="D608">
        <v>57</v>
      </c>
      <c r="E608">
        <v>12</v>
      </c>
      <c r="F608" t="s">
        <v>703</v>
      </c>
      <c r="G608" t="s">
        <v>702</v>
      </c>
      <c r="H608" t="str">
        <f>VLOOKUP(B608,ColesStoreData!$B:$F,2,0)</f>
        <v>QLD</v>
      </c>
      <c r="I608">
        <f>VLOOKUP(B608,ColesStoreData!$B:$F,3,0)</f>
        <v>23702</v>
      </c>
      <c r="J608">
        <f>VLOOKUP(B608,ColesStoreData!$B:$F,5,0)</f>
        <v>2700</v>
      </c>
      <c r="K608">
        <f t="shared" si="20"/>
        <v>45</v>
      </c>
      <c r="L608" s="1">
        <f t="shared" si="19"/>
        <v>0.78947368421052633</v>
      </c>
    </row>
    <row r="609" spans="1:12" x14ac:dyDescent="0.2">
      <c r="A609">
        <v>679</v>
      </c>
      <c r="B609" t="s">
        <v>15</v>
      </c>
      <c r="C609">
        <v>40</v>
      </c>
      <c r="D609">
        <v>25</v>
      </c>
      <c r="E609">
        <v>6</v>
      </c>
      <c r="F609" t="s">
        <v>701</v>
      </c>
      <c r="G609" t="s">
        <v>700</v>
      </c>
      <c r="H609" t="str">
        <f>VLOOKUP(B609,ColesStoreData!$B:$F,2,0)</f>
        <v>QLD</v>
      </c>
      <c r="I609">
        <f>VLOOKUP(B609,ColesStoreData!$B:$F,3,0)</f>
        <v>7596</v>
      </c>
      <c r="J609">
        <f>VLOOKUP(B609,ColesStoreData!$B:$F,5,0)</f>
        <v>1700</v>
      </c>
      <c r="K609">
        <f t="shared" si="20"/>
        <v>19</v>
      </c>
      <c r="L609" s="1">
        <f t="shared" si="19"/>
        <v>0.76</v>
      </c>
    </row>
    <row r="610" spans="1:12" x14ac:dyDescent="0.2">
      <c r="A610">
        <v>680</v>
      </c>
      <c r="B610" t="s">
        <v>14</v>
      </c>
      <c r="C610">
        <v>27</v>
      </c>
      <c r="D610">
        <v>30</v>
      </c>
      <c r="E610">
        <v>11</v>
      </c>
      <c r="F610" t="s">
        <v>703</v>
      </c>
      <c r="G610" t="s">
        <v>700</v>
      </c>
      <c r="H610" t="str">
        <f>VLOOKUP(B610,ColesStoreData!$B:$F,2,0)</f>
        <v>NSW</v>
      </c>
      <c r="I610">
        <f>VLOOKUP(B610,ColesStoreData!$B:$F,3,0)</f>
        <v>9440</v>
      </c>
      <c r="J610">
        <f>VLOOKUP(B610,ColesStoreData!$B:$F,5,0)</f>
        <v>1700</v>
      </c>
      <c r="K610">
        <f t="shared" si="20"/>
        <v>19</v>
      </c>
      <c r="L610" s="1">
        <f t="shared" si="19"/>
        <v>0.6333333333333333</v>
      </c>
    </row>
    <row r="611" spans="1:12" x14ac:dyDescent="0.2">
      <c r="A611">
        <v>681</v>
      </c>
      <c r="B611" t="s">
        <v>13</v>
      </c>
      <c r="C611">
        <v>25</v>
      </c>
      <c r="D611">
        <v>44</v>
      </c>
      <c r="E611">
        <v>10</v>
      </c>
      <c r="F611" t="s">
        <v>701</v>
      </c>
      <c r="G611" t="s">
        <v>702</v>
      </c>
      <c r="H611" t="str">
        <f>VLOOKUP(B611,ColesStoreData!$B:$F,2,0)</f>
        <v>NSW</v>
      </c>
      <c r="I611">
        <f>VLOOKUP(B611,ColesStoreData!$B:$F,3,0)</f>
        <v>8598</v>
      </c>
      <c r="J611">
        <f>VLOOKUP(B611,ColesStoreData!$B:$F,5,0)</f>
        <v>1700</v>
      </c>
      <c r="K611">
        <f t="shared" si="20"/>
        <v>34</v>
      </c>
      <c r="L611" s="1">
        <f t="shared" si="19"/>
        <v>0.77272727272727271</v>
      </c>
    </row>
    <row r="612" spans="1:12" x14ac:dyDescent="0.2">
      <c r="A612">
        <v>682</v>
      </c>
      <c r="B612" t="s">
        <v>12</v>
      </c>
      <c r="C612">
        <v>36</v>
      </c>
      <c r="D612">
        <v>40</v>
      </c>
      <c r="E612">
        <v>8</v>
      </c>
      <c r="F612" t="s">
        <v>701</v>
      </c>
      <c r="G612" t="s">
        <v>700</v>
      </c>
      <c r="H612" t="str">
        <f>VLOOKUP(B612,ColesStoreData!$B:$F,2,0)</f>
        <v>VIC</v>
      </c>
      <c r="I612">
        <f>VLOOKUP(B612,ColesStoreData!$B:$F,3,0)</f>
        <v>7063</v>
      </c>
      <c r="J612">
        <f>VLOOKUP(B612,ColesStoreData!$B:$F,5,0)</f>
        <v>1700</v>
      </c>
      <c r="K612">
        <f t="shared" si="20"/>
        <v>32</v>
      </c>
      <c r="L612" s="1">
        <f t="shared" si="19"/>
        <v>0.8</v>
      </c>
    </row>
  </sheetData>
  <autoFilter ref="G1:G612" xr:uid="{707C84CC-ECD0-6F4C-976F-C00653C351A5}"/>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2329D-5234-3042-A690-95F618FC0903}">
  <dimension ref="A3:D53"/>
  <sheetViews>
    <sheetView topLeftCell="A35" workbookViewId="0">
      <selection activeCell="L24" sqref="L24"/>
    </sheetView>
  </sheetViews>
  <sheetFormatPr baseColWidth="10" defaultRowHeight="16" x14ac:dyDescent="0.2"/>
  <cols>
    <col min="1" max="1" width="13" bestFit="1" customWidth="1"/>
    <col min="2" max="2" width="11.83203125" bestFit="1" customWidth="1"/>
    <col min="3" max="3" width="16.6640625" bestFit="1" customWidth="1"/>
    <col min="4" max="5" width="10.5" bestFit="1" customWidth="1"/>
  </cols>
  <sheetData>
    <row r="3" spans="1:3" x14ac:dyDescent="0.2">
      <c r="A3" s="2" t="s">
        <v>0</v>
      </c>
      <c r="B3" t="s">
        <v>1</v>
      </c>
      <c r="C3" t="s">
        <v>2</v>
      </c>
    </row>
    <row r="4" spans="1:3" x14ac:dyDescent="0.2">
      <c r="A4" s="3" t="s">
        <v>3</v>
      </c>
      <c r="B4" s="4">
        <v>102</v>
      </c>
      <c r="C4" s="4">
        <v>115</v>
      </c>
    </row>
    <row r="5" spans="1:3" x14ac:dyDescent="0.2">
      <c r="A5" s="3" t="s">
        <v>4</v>
      </c>
      <c r="B5" s="4">
        <v>4715</v>
      </c>
      <c r="C5" s="4">
        <v>5972</v>
      </c>
    </row>
    <row r="6" spans="1:3" x14ac:dyDescent="0.2">
      <c r="A6" s="3" t="s">
        <v>6</v>
      </c>
      <c r="B6" s="4">
        <v>1980</v>
      </c>
      <c r="C6" s="4">
        <v>2363</v>
      </c>
    </row>
    <row r="7" spans="1:3" x14ac:dyDescent="0.2">
      <c r="A7" s="3" t="s">
        <v>7</v>
      </c>
      <c r="B7" s="4">
        <v>96</v>
      </c>
      <c r="C7" s="4">
        <v>114</v>
      </c>
    </row>
    <row r="8" spans="1:3" x14ac:dyDescent="0.2">
      <c r="A8" s="3" t="s">
        <v>8</v>
      </c>
      <c r="B8" s="4">
        <v>71</v>
      </c>
      <c r="C8" s="4">
        <v>78</v>
      </c>
    </row>
    <row r="9" spans="1:3" x14ac:dyDescent="0.2">
      <c r="A9" s="3" t="s">
        <v>9</v>
      </c>
      <c r="B9" s="4">
        <v>3448</v>
      </c>
      <c r="C9" s="4">
        <v>4315</v>
      </c>
    </row>
    <row r="10" spans="1:3" x14ac:dyDescent="0.2">
      <c r="A10" s="3" t="s">
        <v>10</v>
      </c>
      <c r="B10" s="4">
        <v>674</v>
      </c>
      <c r="C10" s="4">
        <v>793</v>
      </c>
    </row>
    <row r="11" spans="1:3" x14ac:dyDescent="0.2">
      <c r="A11" s="3" t="s">
        <v>11</v>
      </c>
      <c r="B11" s="4">
        <v>11086</v>
      </c>
      <c r="C11" s="4">
        <v>13750</v>
      </c>
    </row>
    <row r="28" spans="1:3" x14ac:dyDescent="0.2">
      <c r="A28" s="2" t="s">
        <v>0</v>
      </c>
      <c r="B28" t="s">
        <v>2</v>
      </c>
      <c r="C28" t="s">
        <v>714</v>
      </c>
    </row>
    <row r="29" spans="1:3" x14ac:dyDescent="0.2">
      <c r="A29" s="3" t="s">
        <v>702</v>
      </c>
      <c r="B29" s="4">
        <v>13750</v>
      </c>
      <c r="C29" s="4">
        <v>277</v>
      </c>
    </row>
    <row r="30" spans="1:3" x14ac:dyDescent="0.2">
      <c r="A30" s="3" t="s">
        <v>11</v>
      </c>
      <c r="B30" s="4">
        <v>13750</v>
      </c>
      <c r="C30" s="4">
        <v>277</v>
      </c>
    </row>
    <row r="49" spans="1:4" x14ac:dyDescent="0.2">
      <c r="A49" s="2" t="s">
        <v>2</v>
      </c>
      <c r="B49" s="2" t="s">
        <v>715</v>
      </c>
    </row>
    <row r="50" spans="1:4" x14ac:dyDescent="0.2">
      <c r="A50" s="2" t="s">
        <v>0</v>
      </c>
      <c r="B50" t="s">
        <v>700</v>
      </c>
      <c r="C50" t="s">
        <v>702</v>
      </c>
      <c r="D50" t="s">
        <v>11</v>
      </c>
    </row>
    <row r="51" spans="1:4" x14ac:dyDescent="0.2">
      <c r="A51" s="3" t="s">
        <v>703</v>
      </c>
      <c r="B51" s="4">
        <v>6043</v>
      </c>
      <c r="C51" s="4">
        <v>7091</v>
      </c>
      <c r="D51" s="4">
        <v>13134</v>
      </c>
    </row>
    <row r="52" spans="1:4" x14ac:dyDescent="0.2">
      <c r="A52" s="3" t="s">
        <v>701</v>
      </c>
      <c r="B52" s="4">
        <v>6291</v>
      </c>
      <c r="C52" s="4">
        <v>6659</v>
      </c>
      <c r="D52" s="4">
        <v>12950</v>
      </c>
    </row>
    <row r="53" spans="1:4" x14ac:dyDescent="0.2">
      <c r="A53" s="3" t="s">
        <v>11</v>
      </c>
      <c r="B53" s="4">
        <v>12334</v>
      </c>
      <c r="C53" s="4">
        <v>13750</v>
      </c>
      <c r="D53" s="4">
        <v>26084</v>
      </c>
    </row>
  </sheetData>
  <pageMargins left="0.7" right="0.7" top="0.75" bottom="0.75" header="0.3" footer="0.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E5FD8-AF20-EE49-9687-BFE0CBEA0F5F}">
  <dimension ref="A1:J5"/>
  <sheetViews>
    <sheetView showGridLines="0" tabSelected="1" zoomScale="99" workbookViewId="0">
      <selection activeCell="L13" sqref="L13"/>
    </sheetView>
  </sheetViews>
  <sheetFormatPr baseColWidth="10" defaultRowHeight="16" x14ac:dyDescent="0.2"/>
  <cols>
    <col min="1" max="1" width="45.33203125" customWidth="1"/>
  </cols>
  <sheetData>
    <row r="1" spans="1:10" ht="16" customHeight="1" x14ac:dyDescent="0.2">
      <c r="A1" s="5" t="s">
        <v>716</v>
      </c>
      <c r="B1" s="6"/>
      <c r="C1" s="6"/>
      <c r="D1" s="6"/>
      <c r="E1" s="6"/>
      <c r="F1" s="6"/>
      <c r="G1" s="6"/>
      <c r="H1" s="6"/>
      <c r="I1" s="6"/>
      <c r="J1" s="6"/>
    </row>
    <row r="2" spans="1:10" x14ac:dyDescent="0.2">
      <c r="A2" s="6"/>
      <c r="B2" s="6"/>
      <c r="C2" s="6"/>
      <c r="D2" s="6"/>
      <c r="E2" s="6"/>
      <c r="F2" s="6"/>
      <c r="G2" s="6"/>
      <c r="H2" s="6"/>
      <c r="I2" s="6"/>
      <c r="J2" s="6"/>
    </row>
    <row r="3" spans="1:10" x14ac:dyDescent="0.2">
      <c r="A3" s="6"/>
      <c r="B3" s="6"/>
      <c r="C3" s="6"/>
      <c r="D3" s="6"/>
      <c r="E3" s="6"/>
      <c r="F3" s="6"/>
      <c r="G3" s="6"/>
      <c r="H3" s="6"/>
      <c r="I3" s="6"/>
      <c r="J3" s="6"/>
    </row>
    <row r="4" spans="1:10" x14ac:dyDescent="0.2">
      <c r="A4" s="6"/>
      <c r="B4" s="6"/>
      <c r="C4" s="6"/>
      <c r="D4" s="6"/>
      <c r="E4" s="6"/>
      <c r="F4" s="6"/>
      <c r="G4" s="6"/>
      <c r="H4" s="6"/>
      <c r="I4" s="6"/>
      <c r="J4" s="6"/>
    </row>
    <row r="5" spans="1:10" x14ac:dyDescent="0.2">
      <c r="A5" s="6"/>
      <c r="B5" s="6"/>
      <c r="C5" s="6"/>
      <c r="D5" s="6"/>
      <c r="E5" s="6"/>
      <c r="F5" s="6"/>
      <c r="G5" s="6"/>
      <c r="H5" s="6"/>
      <c r="I5" s="6"/>
      <c r="J5" s="6"/>
    </row>
  </sheetData>
  <mergeCells count="1">
    <mergeCell ref="A1:J5"/>
  </mergeCells>
  <phoneticPr fontId="18"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ColesSalesData</vt:lpstr>
      <vt:lpstr>ColesStoreData</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Munna NAHARKI</dc:creator>
  <cp:lastModifiedBy>Mr Munna NAHARKI</cp:lastModifiedBy>
  <dcterms:created xsi:type="dcterms:W3CDTF">2026-05-19T11:14:12Z</dcterms:created>
  <dcterms:modified xsi:type="dcterms:W3CDTF">2026-05-19T12:29:57Z</dcterms:modified>
</cp:coreProperties>
</file>